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动作事件" sheetId="1" r:id="rId1"/>
    <sheet name="状态快照" sheetId="2" r:id="rId2"/>
    <sheet name="响应事件" sheetId="3" r:id="rId3"/>
    <sheet name="人工核对" sheetId="4" r:id="rId4"/>
    <sheet name="阈值" sheetId="5" r:id="rId5"/>
    <sheet name="统计" sheetId="6" r:id="rId6"/>
  </sheets>
  <calcPr calcId="124519" fullCalcOnLoad="1"/>
</workbook>
</file>

<file path=xl/sharedStrings.xml><?xml version="1.0" encoding="utf-8"?>
<sst xmlns="http://schemas.openxmlformats.org/spreadsheetml/2006/main" count="176" uniqueCount="129">
  <si>
    <t>表1 动作事件（A1-A6）</t>
  </si>
  <si>
    <t>逐通听录音，把每个可观测动作标出来。A4(沉默变长)只用于更新状态，不单独触发响应。「是否关键动作」填人工金标准，用来算触发覆盖率。</t>
  </si>
  <si>
    <t>通话ID</t>
  </si>
  <si>
    <t>动作时间戳(秒)</t>
  </si>
  <si>
    <t>动作类型</t>
  </si>
  <si>
    <t>原文片段</t>
  </si>
  <si>
    <t>触发来源</t>
  </si>
  <si>
    <t>是否关键动作(人工金标准)</t>
  </si>
  <si>
    <t>备注</t>
  </si>
  <si>
    <t>表2 状态快照（每个动作后的状态）</t>
  </si>
  <si>
    <t>建议只对 20 通通话完整落库，其余只落增量——这张表会很大。承诺与矛盾只增不减（单调性），旧信息不覆盖只记冲突。</t>
  </si>
  <si>
    <t>阶段</t>
  </si>
  <si>
    <t>议题列表</t>
  </si>
  <si>
    <t>客户立场</t>
  </si>
  <si>
    <t>未决事项</t>
  </si>
  <si>
    <t>已说承诺</t>
  </si>
  <si>
    <t>检测到的矛盾</t>
  </si>
  <si>
    <t>上一个动作</t>
  </si>
  <si>
    <t>表3 响应事件（R0-R5，含沉默）</t>
  </si>
  <si>
    <t>R0 沉默是默认响应，也必须落库——否则算不出沉默比。「是否假阳性」只对 R2 填。</t>
  </si>
  <si>
    <t>响应时间戳(秒)</t>
  </si>
  <si>
    <t>响应类型</t>
  </si>
  <si>
    <t>输出内容</t>
  </si>
  <si>
    <t>依据</t>
  </si>
  <si>
    <t>置信度(1-5)</t>
  </si>
  <si>
    <t>是否假阳性(R2专用)</t>
  </si>
  <si>
    <t>是否被抑制</t>
  </si>
  <si>
    <t>表4 人工核对（状态准确率，仅 20 通）</t>
  </si>
  <si>
    <t>让另一个人独立建同一份状态表再对照。两人的一致率就是状态准确率的上限——如果两个人自己都对不上 80%，先改字段定义，不要写代码。</t>
  </si>
  <si>
    <t>人工判定状态</t>
  </si>
  <si>
    <t>系统状态</t>
  </si>
  <si>
    <t>是否一致</t>
  </si>
  <si>
    <t>差异类型</t>
  </si>
  <si>
    <t>差异说明</t>
  </si>
  <si>
    <t>阈值与容量参数</t>
  </si>
  <si>
    <t>全部是待校准的初始值。改这里，「统计」表的判定会跟着变。上线前必须替换成真实通话数据算出的数字。</t>
  </si>
  <si>
    <t>参数</t>
  </si>
  <si>
    <t>值</t>
  </si>
  <si>
    <t>说明</t>
  </si>
  <si>
    <t>沉默比下限</t>
  </si>
  <si>
    <t>低于此值说明触发太宽，产品是噪音源</t>
  </si>
  <si>
    <t>状态准确率下限</t>
  </si>
  <si>
    <t>最致命的一条：状态不准，后面全建立在错误前提上</t>
  </si>
  <si>
    <t>触发覆盖率下限</t>
  </si>
  <si>
    <t>低于此值说明系统没在听</t>
  </si>
  <si>
    <t>判死用覆盖率</t>
  </si>
  <si>
    <t>低于此值直接判死</t>
  </si>
  <si>
    <t>响应延迟P95上限(秒)</t>
  </si>
  <si>
    <t>过期响应比没有响应更糟</t>
  </si>
  <si>
    <t>判死用延迟(秒)</t>
  </si>
  <si>
    <t>超过此值直接判死</t>
  </si>
  <si>
    <t>R2假阳性上限</t>
  </si>
  <si>
    <t>阻断纠错错了最伤信任，它拿着最高优先级</t>
  </si>
  <si>
    <t>R1占比上限</t>
  </si>
  <si>
    <t>超过说明系统在空转，状态没有实质推进</t>
  </si>
  <si>
    <t>单通话响应上限(不含R0)</t>
  </si>
  <si>
    <t>超过说明触发太宽</t>
  </si>
  <si>
    <t>R2每通上限</t>
  </si>
  <si>
    <t>超过说明判据太松</t>
  </si>
  <si>
    <t>单组选项数上限</t>
  </si>
  <si>
    <t>超过出现选择瘫痪</t>
  </si>
  <si>
    <t>常驻显示响应数</t>
  </si>
  <si>
    <t>视野边缘的注意力预算</t>
  </si>
  <si>
    <t>刷新频率上限(次/30秒)</t>
  </si>
  <si>
    <t>画面抖动比误报更烦人</t>
  </si>
  <si>
    <t>v0.3 指标汇总（不依赖是否执行选项）</t>
  </si>
  <si>
    <t>全部自动计算，数据来自「动作事件」「响应事件」「人工核对」。按 v0.3 要求，不统计「用户是否执行选项」——那部分遥测已从设计里移除。</t>
  </si>
  <si>
    <t>指标</t>
  </si>
  <si>
    <t>计算</t>
  </si>
  <si>
    <t>门槛</t>
  </si>
  <si>
    <t>判定</t>
  </si>
  <si>
    <t>动作总数</t>
  </si>
  <si>
    <t>响应总数</t>
  </si>
  <si>
    <t>R0 沉默数</t>
  </si>
  <si>
    <t>沉默比</t>
  </si>
  <si>
    <t>R0/响应总数，应≥70%</t>
  </si>
  <si>
    <t>关键动作数</t>
  </si>
  <si>
    <t>被识别的关键动作</t>
  </si>
  <si>
    <t>触发覆盖率</t>
  </si>
  <si>
    <t>被识别的关键动作/关键动作数</t>
  </si>
  <si>
    <t>一致数</t>
  </si>
  <si>
    <t>不一致数</t>
  </si>
  <si>
    <t>状态准确率</t>
  </si>
  <si>
    <t>一致/(一致+不一致)，最致命指标</t>
  </si>
  <si>
    <t>响应类型分布（R0 应占七成以上）</t>
  </si>
  <si>
    <t>响应</t>
  </si>
  <si>
    <t>次数</t>
  </si>
  <si>
    <t>占比</t>
  </si>
  <si>
    <t>R0</t>
  </si>
  <si>
    <t>默认状态。占比低说明触发太宽</t>
  </si>
  <si>
    <t>R1</t>
  </si>
  <si>
    <t>纯记账，占比应低</t>
  </si>
  <si>
    <t>R2</t>
  </si>
  <si>
    <t>最高优先级，错了最伤信任</t>
  </si>
  <si>
    <t>R3</t>
  </si>
  <si>
    <t>决策点选项</t>
  </si>
  <si>
    <t>R4</t>
  </si>
  <si>
    <t>前瞻提示</t>
  </si>
  <si>
    <t>R5</t>
  </si>
  <si>
    <t>静默结转，不显示</t>
  </si>
  <si>
    <t>R1 占比判定</t>
  </si>
  <si>
    <t>R2 阻断性纠错的假阳性</t>
  </si>
  <si>
    <t>项目</t>
  </si>
  <si>
    <t>数值</t>
  </si>
  <si>
    <t>R2 总次数</t>
  </si>
  <si>
    <t>判定为假阳性</t>
  </si>
  <si>
    <t>R2 假阳性率</t>
  </si>
  <si>
    <t>动作类型分布（用来砍掉识别不准的动作类型）</t>
  </si>
  <si>
    <t>动作</t>
  </si>
  <si>
    <t>A1</t>
  </si>
  <si>
    <t>A2</t>
  </si>
  <si>
    <t>A3</t>
  </si>
  <si>
    <t>A4</t>
  </si>
  <si>
    <t>A5</t>
  </si>
  <si>
    <t>A6</t>
  </si>
  <si>
    <t>状态差异类型（指导你改字段定义还是改代码）</t>
  </si>
  <si>
    <t>动作漏识别</t>
  </si>
  <si>
    <t>字段定义不清</t>
  </si>
  <si>
    <t>判据不同</t>
  </si>
  <si>
    <t>系统错误</t>
  </si>
  <si>
    <t>其他</t>
  </si>
  <si>
    <t>判死标准（六条，任一不过即停或改规则）</t>
  </si>
  <si>
    <t>· 状态准确率 &lt; 80% → 最致命：状态不准，后面所有响应都建立在错误前提上</t>
  </si>
  <si>
    <t>· 沉默比 &lt; 70% → 触发太宽，必然被无视</t>
  </si>
  <si>
    <t>· 响应延迟 P95 &gt; 3 秒 → 过期响应比没有响应更糟</t>
  </si>
  <si>
    <t>· R2 假阳性 &gt; 20% → 阻断纠错错了最伤信任，它拿着最高优先级</t>
  </si>
  <si>
    <t>· 触发覆盖率 &lt; 30% → 系统没在听，状态一定也错了</t>
  </si>
  <si>
    <t>· R1（确认）占比 &gt; 20% → 说明系统在空转，状态没有实质推进</t>
  </si>
  <si>
    <t>注意：本版不统计「用户是否执行选项」。v0.2 的 L2/L3 指标已按 v0.3 要求移除。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</si>
</sst>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sz val="11"/>
      <color theme="1"/>
      <name val="Calibri"/>
      <family val="2"/>
      <scheme val="minor"/>
    </font>
    <font>
      <b/>
      <sz val="13"/>
      <color rgb="FF1F4E79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869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动作事件Table" displayName="动作事件Table" ref="A4:G304" totalsRowShown="0">
  <autoFilter ref="A4:G304"/>
  <tableColumns count="7">
    <tableColumn id="1" name="通话ID"/>
    <tableColumn id="2" name="动作时间戳(秒)"/>
    <tableColumn id="3" name="动作类型"/>
    <tableColumn id="4" name="原文片段"/>
    <tableColumn id="5" name="触发来源"/>
    <tableColumn id="6" name="是否关键动作(人工金标准)"/>
    <tableColumn id="7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状态快照Table" displayName="状态快照Table" ref="A4:J304" totalsRowShown="0">
  <autoFilter ref="A4:J304"/>
  <tableColumns count="10">
    <tableColumn id="1" name="通话ID"/>
    <tableColumn id="2" name="动作时间戳(秒)"/>
    <tableColumn id="3" name="阶段"/>
    <tableColumn id="4" name="议题列表"/>
    <tableColumn id="5" name="客户立场"/>
    <tableColumn id="6" name="未决事项"/>
    <tableColumn id="7" name="已说承诺"/>
    <tableColumn id="8" name="检测到的矛盾"/>
    <tableColumn id="9" name="上一个动作"/>
    <tableColumn id="1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响应事件Table" displayName="响应事件Table" ref="A4:I304" totalsRowShown="0">
  <autoFilter ref="A4:I304"/>
  <tableColumns count="9">
    <tableColumn id="1" name="通话ID"/>
    <tableColumn id="2" name="响应时间戳(秒)"/>
    <tableColumn id="3" name="响应类型"/>
    <tableColumn id="4" name="输出内容"/>
    <tableColumn id="5" name="依据"/>
    <tableColumn id="6" name="置信度(1-5)"/>
    <tableColumn id="7" name="是否假阳性(R2专用)"/>
    <tableColumn id="8" name="是否被抑制"/>
    <tableColumn id="9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人工核对Table" displayName="人工核对Table" ref="A4:G304" totalsRowShown="0">
  <autoFilter ref="A4:G304"/>
  <tableColumns count="7">
    <tableColumn id="1" name="通话ID"/>
    <tableColumn id="2" name="动作时间戳(秒)"/>
    <tableColumn id="3" name="人工判定状态"/>
    <tableColumn id="4" name="系统状态"/>
    <tableColumn id="5" name="是否一致"/>
    <tableColumn id="6" name="差异类型"/>
    <tableColumn id="7" name="差异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4.7109375" customWidth="1"/>
    <col min="4" max="4" width="34.7109375" customWidth="1"/>
    <col min="5" max="5" width="14.7109375" customWidth="1"/>
    <col min="6" max="6" width="20.7109375" customWidth="1"/>
    <col min="7" max="7" width="22.7109375" customWidth="1"/>
  </cols>
  <sheetData>
    <row r="1" spans="1:7">
      <c r="A1" s="1" t="s">
        <v>0</v>
      </c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  <row r="101" spans="1:7">
      <c r="A101" s="3"/>
      <c r="B101" s="3"/>
      <c r="C101" s="3"/>
      <c r="D101" s="3"/>
      <c r="E101" s="3"/>
      <c r="F101" s="3"/>
      <c r="G101" s="3"/>
    </row>
    <row r="102" spans="1:7">
      <c r="A102" s="3"/>
      <c r="B102" s="3"/>
      <c r="C102" s="3"/>
      <c r="D102" s="3"/>
      <c r="E102" s="3"/>
      <c r="F102" s="3"/>
      <c r="G102" s="3"/>
    </row>
    <row r="103" spans="1:7">
      <c r="A103" s="3"/>
      <c r="B103" s="3"/>
      <c r="C103" s="3"/>
      <c r="D103" s="3"/>
      <c r="E103" s="3"/>
      <c r="F103" s="3"/>
      <c r="G103" s="3"/>
    </row>
    <row r="104" spans="1:7">
      <c r="A104" s="3"/>
      <c r="B104" s="3"/>
      <c r="C104" s="3"/>
      <c r="D104" s="3"/>
      <c r="E104" s="3"/>
      <c r="F104" s="3"/>
      <c r="G104" s="3"/>
    </row>
    <row r="105" spans="1:7">
      <c r="A105" s="3"/>
      <c r="B105" s="3"/>
      <c r="C105" s="3"/>
      <c r="D105" s="3"/>
      <c r="E105" s="3"/>
      <c r="F105" s="3"/>
      <c r="G105" s="3"/>
    </row>
    <row r="106" spans="1:7">
      <c r="A106" s="3"/>
      <c r="B106" s="3"/>
      <c r="C106" s="3"/>
      <c r="D106" s="3"/>
      <c r="E106" s="3"/>
      <c r="F106" s="3"/>
      <c r="G106" s="3"/>
    </row>
    <row r="107" spans="1:7">
      <c r="A107" s="3"/>
      <c r="B107" s="3"/>
      <c r="C107" s="3"/>
      <c r="D107" s="3"/>
      <c r="E107" s="3"/>
      <c r="F107" s="3"/>
      <c r="G107" s="3"/>
    </row>
    <row r="108" spans="1:7">
      <c r="A108" s="3"/>
      <c r="B108" s="3"/>
      <c r="C108" s="3"/>
      <c r="D108" s="3"/>
      <c r="E108" s="3"/>
      <c r="F108" s="3"/>
      <c r="G108" s="3"/>
    </row>
    <row r="109" spans="1:7">
      <c r="A109" s="3"/>
      <c r="B109" s="3"/>
      <c r="C109" s="3"/>
      <c r="D109" s="3"/>
      <c r="E109" s="3"/>
      <c r="F109" s="3"/>
      <c r="G109" s="3"/>
    </row>
    <row r="110" spans="1:7">
      <c r="A110" s="3"/>
      <c r="B110" s="3"/>
      <c r="C110" s="3"/>
      <c r="D110" s="3"/>
      <c r="E110" s="3"/>
      <c r="F110" s="3"/>
      <c r="G110" s="3"/>
    </row>
    <row r="111" spans="1:7">
      <c r="A111" s="3"/>
      <c r="B111" s="3"/>
      <c r="C111" s="3"/>
      <c r="D111" s="3"/>
      <c r="E111" s="3"/>
      <c r="F111" s="3"/>
      <c r="G111" s="3"/>
    </row>
    <row r="112" spans="1:7">
      <c r="A112" s="3"/>
      <c r="B112" s="3"/>
      <c r="C112" s="3"/>
      <c r="D112" s="3"/>
      <c r="E112" s="3"/>
      <c r="F112" s="3"/>
      <c r="G112" s="3"/>
    </row>
    <row r="113" spans="1:7">
      <c r="A113" s="3"/>
      <c r="B113" s="3"/>
      <c r="C113" s="3"/>
      <c r="D113" s="3"/>
      <c r="E113" s="3"/>
      <c r="F113" s="3"/>
      <c r="G113" s="3"/>
    </row>
    <row r="114" spans="1:7">
      <c r="A114" s="3"/>
      <c r="B114" s="3"/>
      <c r="C114" s="3"/>
      <c r="D114" s="3"/>
      <c r="E114" s="3"/>
      <c r="F114" s="3"/>
      <c r="G114" s="3"/>
    </row>
    <row r="115" spans="1:7">
      <c r="A115" s="3"/>
      <c r="B115" s="3"/>
      <c r="C115" s="3"/>
      <c r="D115" s="3"/>
      <c r="E115" s="3"/>
      <c r="F115" s="3"/>
      <c r="G115" s="3"/>
    </row>
    <row r="116" spans="1:7">
      <c r="A116" s="3"/>
      <c r="B116" s="3"/>
      <c r="C116" s="3"/>
      <c r="D116" s="3"/>
      <c r="E116" s="3"/>
      <c r="F116" s="3"/>
      <c r="G116" s="3"/>
    </row>
    <row r="117" spans="1:7">
      <c r="A117" s="3"/>
      <c r="B117" s="3"/>
      <c r="C117" s="3"/>
      <c r="D117" s="3"/>
      <c r="E117" s="3"/>
      <c r="F117" s="3"/>
      <c r="G117" s="3"/>
    </row>
    <row r="118" spans="1:7">
      <c r="A118" s="3"/>
      <c r="B118" s="3"/>
      <c r="C118" s="3"/>
      <c r="D118" s="3"/>
      <c r="E118" s="3"/>
      <c r="F118" s="3"/>
      <c r="G118" s="3"/>
    </row>
    <row r="119" spans="1:7">
      <c r="A119" s="3"/>
      <c r="B119" s="3"/>
      <c r="C119" s="3"/>
      <c r="D119" s="3"/>
      <c r="E119" s="3"/>
      <c r="F119" s="3"/>
      <c r="G119" s="3"/>
    </row>
    <row r="120" spans="1:7">
      <c r="A120" s="3"/>
      <c r="B120" s="3"/>
      <c r="C120" s="3"/>
      <c r="D120" s="3"/>
      <c r="E120" s="3"/>
      <c r="F120" s="3"/>
      <c r="G120" s="3"/>
    </row>
    <row r="121" spans="1:7">
      <c r="A121" s="3"/>
      <c r="B121" s="3"/>
      <c r="C121" s="3"/>
      <c r="D121" s="3"/>
      <c r="E121" s="3"/>
      <c r="F121" s="3"/>
      <c r="G121" s="3"/>
    </row>
    <row r="122" spans="1:7">
      <c r="A122" s="3"/>
      <c r="B122" s="3"/>
      <c r="C122" s="3"/>
      <c r="D122" s="3"/>
      <c r="E122" s="3"/>
      <c r="F122" s="3"/>
      <c r="G122" s="3"/>
    </row>
    <row r="123" spans="1:7">
      <c r="A123" s="3"/>
      <c r="B123" s="3"/>
      <c r="C123" s="3"/>
      <c r="D123" s="3"/>
      <c r="E123" s="3"/>
      <c r="F123" s="3"/>
      <c r="G123" s="3"/>
    </row>
    <row r="124" spans="1:7">
      <c r="A124" s="3"/>
      <c r="B124" s="3"/>
      <c r="C124" s="3"/>
      <c r="D124" s="3"/>
      <c r="E124" s="3"/>
      <c r="F124" s="3"/>
      <c r="G124" s="3"/>
    </row>
    <row r="125" spans="1:7">
      <c r="A125" s="3"/>
      <c r="B125" s="3"/>
      <c r="C125" s="3"/>
      <c r="D125" s="3"/>
      <c r="E125" s="3"/>
      <c r="F125" s="3"/>
      <c r="G125" s="3"/>
    </row>
    <row r="126" spans="1:7">
      <c r="A126" s="3"/>
      <c r="B126" s="3"/>
      <c r="C126" s="3"/>
      <c r="D126" s="3"/>
      <c r="E126" s="3"/>
      <c r="F126" s="3"/>
      <c r="G126" s="3"/>
    </row>
    <row r="127" spans="1:7">
      <c r="A127" s="3"/>
      <c r="B127" s="3"/>
      <c r="C127" s="3"/>
      <c r="D127" s="3"/>
      <c r="E127" s="3"/>
      <c r="F127" s="3"/>
      <c r="G127" s="3"/>
    </row>
    <row r="128" spans="1:7">
      <c r="A128" s="3"/>
      <c r="B128" s="3"/>
      <c r="C128" s="3"/>
      <c r="D128" s="3"/>
      <c r="E128" s="3"/>
      <c r="F128" s="3"/>
      <c r="G128" s="3"/>
    </row>
    <row r="129" spans="1:7">
      <c r="A129" s="3"/>
      <c r="B129" s="3"/>
      <c r="C129" s="3"/>
      <c r="D129" s="3"/>
      <c r="E129" s="3"/>
      <c r="F129" s="3"/>
      <c r="G129" s="3"/>
    </row>
    <row r="130" spans="1:7">
      <c r="A130" s="3"/>
      <c r="B130" s="3"/>
      <c r="C130" s="3"/>
      <c r="D130" s="3"/>
      <c r="E130" s="3"/>
      <c r="F130" s="3"/>
      <c r="G130" s="3"/>
    </row>
    <row r="131" spans="1:7">
      <c r="A131" s="3"/>
      <c r="B131" s="3"/>
      <c r="C131" s="3"/>
      <c r="D131" s="3"/>
      <c r="E131" s="3"/>
      <c r="F131" s="3"/>
      <c r="G131" s="3"/>
    </row>
    <row r="132" spans="1:7">
      <c r="A132" s="3"/>
      <c r="B132" s="3"/>
      <c r="C132" s="3"/>
      <c r="D132" s="3"/>
      <c r="E132" s="3"/>
      <c r="F132" s="3"/>
      <c r="G132" s="3"/>
    </row>
    <row r="133" spans="1:7">
      <c r="A133" s="3"/>
      <c r="B133" s="3"/>
      <c r="C133" s="3"/>
      <c r="D133" s="3"/>
      <c r="E133" s="3"/>
      <c r="F133" s="3"/>
      <c r="G133" s="3"/>
    </row>
    <row r="134" spans="1:7">
      <c r="A134" s="3"/>
      <c r="B134" s="3"/>
      <c r="C134" s="3"/>
      <c r="D134" s="3"/>
      <c r="E134" s="3"/>
      <c r="F134" s="3"/>
      <c r="G134" s="3"/>
    </row>
    <row r="135" spans="1:7">
      <c r="A135" s="3"/>
      <c r="B135" s="3"/>
      <c r="C135" s="3"/>
      <c r="D135" s="3"/>
      <c r="E135" s="3"/>
      <c r="F135" s="3"/>
      <c r="G135" s="3"/>
    </row>
    <row r="136" spans="1:7">
      <c r="A136" s="3"/>
      <c r="B136" s="3"/>
      <c r="C136" s="3"/>
      <c r="D136" s="3"/>
      <c r="E136" s="3"/>
      <c r="F136" s="3"/>
      <c r="G136" s="3"/>
    </row>
    <row r="137" spans="1:7">
      <c r="A137" s="3"/>
      <c r="B137" s="3"/>
      <c r="C137" s="3"/>
      <c r="D137" s="3"/>
      <c r="E137" s="3"/>
      <c r="F137" s="3"/>
      <c r="G137" s="3"/>
    </row>
    <row r="138" spans="1:7">
      <c r="A138" s="3"/>
      <c r="B138" s="3"/>
      <c r="C138" s="3"/>
      <c r="D138" s="3"/>
      <c r="E138" s="3"/>
      <c r="F138" s="3"/>
      <c r="G138" s="3"/>
    </row>
    <row r="139" spans="1:7">
      <c r="A139" s="3"/>
      <c r="B139" s="3"/>
      <c r="C139" s="3"/>
      <c r="D139" s="3"/>
      <c r="E139" s="3"/>
      <c r="F139" s="3"/>
      <c r="G139" s="3"/>
    </row>
    <row r="140" spans="1:7">
      <c r="A140" s="3"/>
      <c r="B140" s="3"/>
      <c r="C140" s="3"/>
      <c r="D140" s="3"/>
      <c r="E140" s="3"/>
      <c r="F140" s="3"/>
      <c r="G140" s="3"/>
    </row>
    <row r="141" spans="1:7">
      <c r="A141" s="3"/>
      <c r="B141" s="3"/>
      <c r="C141" s="3"/>
      <c r="D141" s="3"/>
      <c r="E141" s="3"/>
      <c r="F141" s="3"/>
      <c r="G141" s="3"/>
    </row>
    <row r="142" spans="1:7">
      <c r="A142" s="3"/>
      <c r="B142" s="3"/>
      <c r="C142" s="3"/>
      <c r="D142" s="3"/>
      <c r="E142" s="3"/>
      <c r="F142" s="3"/>
      <c r="G142" s="3"/>
    </row>
    <row r="143" spans="1:7">
      <c r="A143" s="3"/>
      <c r="B143" s="3"/>
      <c r="C143" s="3"/>
      <c r="D143" s="3"/>
      <c r="E143" s="3"/>
      <c r="F143" s="3"/>
      <c r="G143" s="3"/>
    </row>
    <row r="144" spans="1:7">
      <c r="A144" s="3"/>
      <c r="B144" s="3"/>
      <c r="C144" s="3"/>
      <c r="D144" s="3"/>
      <c r="E144" s="3"/>
      <c r="F144" s="3"/>
      <c r="G144" s="3"/>
    </row>
    <row r="145" spans="1:7">
      <c r="A145" s="3"/>
      <c r="B145" s="3"/>
      <c r="C145" s="3"/>
      <c r="D145" s="3"/>
      <c r="E145" s="3"/>
      <c r="F145" s="3"/>
      <c r="G145" s="3"/>
    </row>
    <row r="146" spans="1:7">
      <c r="A146" s="3"/>
      <c r="B146" s="3"/>
      <c r="C146" s="3"/>
      <c r="D146" s="3"/>
      <c r="E146" s="3"/>
      <c r="F146" s="3"/>
      <c r="G146" s="3"/>
    </row>
    <row r="147" spans="1:7">
      <c r="A147" s="3"/>
      <c r="B147" s="3"/>
      <c r="C147" s="3"/>
      <c r="D147" s="3"/>
      <c r="E147" s="3"/>
      <c r="F147" s="3"/>
      <c r="G147" s="3"/>
    </row>
    <row r="148" spans="1:7">
      <c r="A148" s="3"/>
      <c r="B148" s="3"/>
      <c r="C148" s="3"/>
      <c r="D148" s="3"/>
      <c r="E148" s="3"/>
      <c r="F148" s="3"/>
      <c r="G148" s="3"/>
    </row>
    <row r="149" spans="1:7">
      <c r="A149" s="3"/>
      <c r="B149" s="3"/>
      <c r="C149" s="3"/>
      <c r="D149" s="3"/>
      <c r="E149" s="3"/>
      <c r="F149" s="3"/>
      <c r="G149" s="3"/>
    </row>
    <row r="150" spans="1:7">
      <c r="A150" s="3"/>
      <c r="B150" s="3"/>
      <c r="C150" s="3"/>
      <c r="D150" s="3"/>
      <c r="E150" s="3"/>
      <c r="F150" s="3"/>
      <c r="G150" s="3"/>
    </row>
    <row r="151" spans="1:7">
      <c r="A151" s="3"/>
      <c r="B151" s="3"/>
      <c r="C151" s="3"/>
      <c r="D151" s="3"/>
      <c r="E151" s="3"/>
      <c r="F151" s="3"/>
      <c r="G151" s="3"/>
    </row>
    <row r="152" spans="1:7">
      <c r="A152" s="3"/>
      <c r="B152" s="3"/>
      <c r="C152" s="3"/>
      <c r="D152" s="3"/>
      <c r="E152" s="3"/>
      <c r="F152" s="3"/>
      <c r="G152" s="3"/>
    </row>
    <row r="153" spans="1:7">
      <c r="A153" s="3"/>
      <c r="B153" s="3"/>
      <c r="C153" s="3"/>
      <c r="D153" s="3"/>
      <c r="E153" s="3"/>
      <c r="F153" s="3"/>
      <c r="G153" s="3"/>
    </row>
    <row r="154" spans="1:7">
      <c r="A154" s="3"/>
      <c r="B154" s="3"/>
      <c r="C154" s="3"/>
      <c r="D154" s="3"/>
      <c r="E154" s="3"/>
      <c r="F154" s="3"/>
      <c r="G154" s="3"/>
    </row>
    <row r="155" spans="1:7">
      <c r="A155" s="3"/>
      <c r="B155" s="3"/>
      <c r="C155" s="3"/>
      <c r="D155" s="3"/>
      <c r="E155" s="3"/>
      <c r="F155" s="3"/>
      <c r="G155" s="3"/>
    </row>
    <row r="156" spans="1:7">
      <c r="A156" s="3"/>
      <c r="B156" s="3"/>
      <c r="C156" s="3"/>
      <c r="D156" s="3"/>
      <c r="E156" s="3"/>
      <c r="F156" s="3"/>
      <c r="G156" s="3"/>
    </row>
    <row r="157" spans="1:7">
      <c r="A157" s="3"/>
      <c r="B157" s="3"/>
      <c r="C157" s="3"/>
      <c r="D157" s="3"/>
      <c r="E157" s="3"/>
      <c r="F157" s="3"/>
      <c r="G157" s="3"/>
    </row>
    <row r="158" spans="1:7">
      <c r="A158" s="3"/>
      <c r="B158" s="3"/>
      <c r="C158" s="3"/>
      <c r="D158" s="3"/>
      <c r="E158" s="3"/>
      <c r="F158" s="3"/>
      <c r="G158" s="3"/>
    </row>
    <row r="159" spans="1:7">
      <c r="A159" s="3"/>
      <c r="B159" s="3"/>
      <c r="C159" s="3"/>
      <c r="D159" s="3"/>
      <c r="E159" s="3"/>
      <c r="F159" s="3"/>
      <c r="G159" s="3"/>
    </row>
    <row r="160" spans="1:7">
      <c r="A160" s="3"/>
      <c r="B160" s="3"/>
      <c r="C160" s="3"/>
      <c r="D160" s="3"/>
      <c r="E160" s="3"/>
      <c r="F160" s="3"/>
      <c r="G160" s="3"/>
    </row>
    <row r="161" spans="1:7">
      <c r="A161" s="3"/>
      <c r="B161" s="3"/>
      <c r="C161" s="3"/>
      <c r="D161" s="3"/>
      <c r="E161" s="3"/>
      <c r="F161" s="3"/>
      <c r="G161" s="3"/>
    </row>
    <row r="162" spans="1:7">
      <c r="A162" s="3"/>
      <c r="B162" s="3"/>
      <c r="C162" s="3"/>
      <c r="D162" s="3"/>
      <c r="E162" s="3"/>
      <c r="F162" s="3"/>
      <c r="G162" s="3"/>
    </row>
    <row r="163" spans="1:7">
      <c r="A163" s="3"/>
      <c r="B163" s="3"/>
      <c r="C163" s="3"/>
      <c r="D163" s="3"/>
      <c r="E163" s="3"/>
      <c r="F163" s="3"/>
      <c r="G163" s="3"/>
    </row>
    <row r="164" spans="1:7">
      <c r="A164" s="3"/>
      <c r="B164" s="3"/>
      <c r="C164" s="3"/>
      <c r="D164" s="3"/>
      <c r="E164" s="3"/>
      <c r="F164" s="3"/>
      <c r="G164" s="3"/>
    </row>
    <row r="165" spans="1:7">
      <c r="A165" s="3"/>
      <c r="B165" s="3"/>
      <c r="C165" s="3"/>
      <c r="D165" s="3"/>
      <c r="E165" s="3"/>
      <c r="F165" s="3"/>
      <c r="G165" s="3"/>
    </row>
    <row r="166" spans="1:7">
      <c r="A166" s="3"/>
      <c r="B166" s="3"/>
      <c r="C166" s="3"/>
      <c r="D166" s="3"/>
      <c r="E166" s="3"/>
      <c r="F166" s="3"/>
      <c r="G166" s="3"/>
    </row>
    <row r="167" spans="1:7">
      <c r="A167" s="3"/>
      <c r="B167" s="3"/>
      <c r="C167" s="3"/>
      <c r="D167" s="3"/>
      <c r="E167" s="3"/>
      <c r="F167" s="3"/>
      <c r="G167" s="3"/>
    </row>
    <row r="168" spans="1:7">
      <c r="A168" s="3"/>
      <c r="B168" s="3"/>
      <c r="C168" s="3"/>
      <c r="D168" s="3"/>
      <c r="E168" s="3"/>
      <c r="F168" s="3"/>
      <c r="G168" s="3"/>
    </row>
    <row r="169" spans="1:7">
      <c r="A169" s="3"/>
      <c r="B169" s="3"/>
      <c r="C169" s="3"/>
      <c r="D169" s="3"/>
      <c r="E169" s="3"/>
      <c r="F169" s="3"/>
      <c r="G169" s="3"/>
    </row>
    <row r="170" spans="1:7">
      <c r="A170" s="3"/>
      <c r="B170" s="3"/>
      <c r="C170" s="3"/>
      <c r="D170" s="3"/>
      <c r="E170" s="3"/>
      <c r="F170" s="3"/>
      <c r="G170" s="3"/>
    </row>
    <row r="171" spans="1:7">
      <c r="A171" s="3"/>
      <c r="B171" s="3"/>
      <c r="C171" s="3"/>
      <c r="D171" s="3"/>
      <c r="E171" s="3"/>
      <c r="F171" s="3"/>
      <c r="G171" s="3"/>
    </row>
    <row r="172" spans="1:7">
      <c r="A172" s="3"/>
      <c r="B172" s="3"/>
      <c r="C172" s="3"/>
      <c r="D172" s="3"/>
      <c r="E172" s="3"/>
      <c r="F172" s="3"/>
      <c r="G172" s="3"/>
    </row>
    <row r="173" spans="1:7">
      <c r="A173" s="3"/>
      <c r="B173" s="3"/>
      <c r="C173" s="3"/>
      <c r="D173" s="3"/>
      <c r="E173" s="3"/>
      <c r="F173" s="3"/>
      <c r="G173" s="3"/>
    </row>
    <row r="174" spans="1:7">
      <c r="A174" s="3"/>
      <c r="B174" s="3"/>
      <c r="C174" s="3"/>
      <c r="D174" s="3"/>
      <c r="E174" s="3"/>
      <c r="F174" s="3"/>
      <c r="G174" s="3"/>
    </row>
    <row r="175" spans="1:7">
      <c r="A175" s="3"/>
      <c r="B175" s="3"/>
      <c r="C175" s="3"/>
      <c r="D175" s="3"/>
      <c r="E175" s="3"/>
      <c r="F175" s="3"/>
      <c r="G175" s="3"/>
    </row>
    <row r="176" spans="1:7">
      <c r="A176" s="3"/>
      <c r="B176" s="3"/>
      <c r="C176" s="3"/>
      <c r="D176" s="3"/>
      <c r="E176" s="3"/>
      <c r="F176" s="3"/>
      <c r="G176" s="3"/>
    </row>
    <row r="177" spans="1:7">
      <c r="A177" s="3"/>
      <c r="B177" s="3"/>
      <c r="C177" s="3"/>
      <c r="D177" s="3"/>
      <c r="E177" s="3"/>
      <c r="F177" s="3"/>
      <c r="G177" s="3"/>
    </row>
    <row r="178" spans="1:7">
      <c r="A178" s="3"/>
      <c r="B178" s="3"/>
      <c r="C178" s="3"/>
      <c r="D178" s="3"/>
      <c r="E178" s="3"/>
      <c r="F178" s="3"/>
      <c r="G178" s="3"/>
    </row>
    <row r="179" spans="1:7">
      <c r="A179" s="3"/>
      <c r="B179" s="3"/>
      <c r="C179" s="3"/>
      <c r="D179" s="3"/>
      <c r="E179" s="3"/>
      <c r="F179" s="3"/>
      <c r="G179" s="3"/>
    </row>
    <row r="180" spans="1:7">
      <c r="A180" s="3"/>
      <c r="B180" s="3"/>
      <c r="C180" s="3"/>
      <c r="D180" s="3"/>
      <c r="E180" s="3"/>
      <c r="F180" s="3"/>
      <c r="G180" s="3"/>
    </row>
    <row r="181" spans="1:7">
      <c r="A181" s="3"/>
      <c r="B181" s="3"/>
      <c r="C181" s="3"/>
      <c r="D181" s="3"/>
      <c r="E181" s="3"/>
      <c r="F181" s="3"/>
      <c r="G181" s="3"/>
    </row>
    <row r="182" spans="1:7">
      <c r="A182" s="3"/>
      <c r="B182" s="3"/>
      <c r="C182" s="3"/>
      <c r="D182" s="3"/>
      <c r="E182" s="3"/>
      <c r="F182" s="3"/>
      <c r="G182" s="3"/>
    </row>
    <row r="183" spans="1:7">
      <c r="A183" s="3"/>
      <c r="B183" s="3"/>
      <c r="C183" s="3"/>
      <c r="D183" s="3"/>
      <c r="E183" s="3"/>
      <c r="F183" s="3"/>
      <c r="G183" s="3"/>
    </row>
    <row r="184" spans="1:7">
      <c r="A184" s="3"/>
      <c r="B184" s="3"/>
      <c r="C184" s="3"/>
      <c r="D184" s="3"/>
      <c r="E184" s="3"/>
      <c r="F184" s="3"/>
      <c r="G184" s="3"/>
    </row>
    <row r="185" spans="1:7">
      <c r="A185" s="3"/>
      <c r="B185" s="3"/>
      <c r="C185" s="3"/>
      <c r="D185" s="3"/>
      <c r="E185" s="3"/>
      <c r="F185" s="3"/>
      <c r="G185" s="3"/>
    </row>
    <row r="186" spans="1:7">
      <c r="A186" s="3"/>
      <c r="B186" s="3"/>
      <c r="C186" s="3"/>
      <c r="D186" s="3"/>
      <c r="E186" s="3"/>
      <c r="F186" s="3"/>
      <c r="G186" s="3"/>
    </row>
    <row r="187" spans="1:7">
      <c r="A187" s="3"/>
      <c r="B187" s="3"/>
      <c r="C187" s="3"/>
      <c r="D187" s="3"/>
      <c r="E187" s="3"/>
      <c r="F187" s="3"/>
      <c r="G187" s="3"/>
    </row>
    <row r="188" spans="1:7">
      <c r="A188" s="3"/>
      <c r="B188" s="3"/>
      <c r="C188" s="3"/>
      <c r="D188" s="3"/>
      <c r="E188" s="3"/>
      <c r="F188" s="3"/>
      <c r="G188" s="3"/>
    </row>
    <row r="189" spans="1:7">
      <c r="A189" s="3"/>
      <c r="B189" s="3"/>
      <c r="C189" s="3"/>
      <c r="D189" s="3"/>
      <c r="E189" s="3"/>
      <c r="F189" s="3"/>
      <c r="G189" s="3"/>
    </row>
    <row r="190" spans="1:7">
      <c r="A190" s="3"/>
      <c r="B190" s="3"/>
      <c r="C190" s="3"/>
      <c r="D190" s="3"/>
      <c r="E190" s="3"/>
      <c r="F190" s="3"/>
      <c r="G190" s="3"/>
    </row>
    <row r="191" spans="1:7">
      <c r="A191" s="3"/>
      <c r="B191" s="3"/>
      <c r="C191" s="3"/>
      <c r="D191" s="3"/>
      <c r="E191" s="3"/>
      <c r="F191" s="3"/>
      <c r="G191" s="3"/>
    </row>
    <row r="192" spans="1:7">
      <c r="A192" s="3"/>
      <c r="B192" s="3"/>
      <c r="C192" s="3"/>
      <c r="D192" s="3"/>
      <c r="E192" s="3"/>
      <c r="F192" s="3"/>
      <c r="G192" s="3"/>
    </row>
    <row r="193" spans="1:7">
      <c r="A193" s="3"/>
      <c r="B193" s="3"/>
      <c r="C193" s="3"/>
      <c r="D193" s="3"/>
      <c r="E193" s="3"/>
      <c r="F193" s="3"/>
      <c r="G193" s="3"/>
    </row>
    <row r="194" spans="1:7">
      <c r="A194" s="3"/>
      <c r="B194" s="3"/>
      <c r="C194" s="3"/>
      <c r="D194" s="3"/>
      <c r="E194" s="3"/>
      <c r="F194" s="3"/>
      <c r="G194" s="3"/>
    </row>
    <row r="195" spans="1:7">
      <c r="A195" s="3"/>
      <c r="B195" s="3"/>
      <c r="C195" s="3"/>
      <c r="D195" s="3"/>
      <c r="E195" s="3"/>
      <c r="F195" s="3"/>
      <c r="G195" s="3"/>
    </row>
    <row r="196" spans="1:7">
      <c r="A196" s="3"/>
      <c r="B196" s="3"/>
      <c r="C196" s="3"/>
      <c r="D196" s="3"/>
      <c r="E196" s="3"/>
      <c r="F196" s="3"/>
      <c r="G196" s="3"/>
    </row>
    <row r="197" spans="1:7">
      <c r="A197" s="3"/>
      <c r="B197" s="3"/>
      <c r="C197" s="3"/>
      <c r="D197" s="3"/>
      <c r="E197" s="3"/>
      <c r="F197" s="3"/>
      <c r="G197" s="3"/>
    </row>
    <row r="198" spans="1:7">
      <c r="A198" s="3"/>
      <c r="B198" s="3"/>
      <c r="C198" s="3"/>
      <c r="D198" s="3"/>
      <c r="E198" s="3"/>
      <c r="F198" s="3"/>
      <c r="G198" s="3"/>
    </row>
    <row r="199" spans="1:7">
      <c r="A199" s="3"/>
      <c r="B199" s="3"/>
      <c r="C199" s="3"/>
      <c r="D199" s="3"/>
      <c r="E199" s="3"/>
      <c r="F199" s="3"/>
      <c r="G199" s="3"/>
    </row>
    <row r="200" spans="1:7">
      <c r="A200" s="3"/>
      <c r="B200" s="3"/>
      <c r="C200" s="3"/>
      <c r="D200" s="3"/>
      <c r="E200" s="3"/>
      <c r="F200" s="3"/>
      <c r="G200" s="3"/>
    </row>
    <row r="201" spans="1:7">
      <c r="A201" s="3"/>
      <c r="B201" s="3"/>
      <c r="C201" s="3"/>
      <c r="D201" s="3"/>
      <c r="E201" s="3"/>
      <c r="F201" s="3"/>
      <c r="G201" s="3"/>
    </row>
    <row r="202" spans="1:7">
      <c r="A202" s="3"/>
      <c r="B202" s="3"/>
      <c r="C202" s="3"/>
      <c r="D202" s="3"/>
      <c r="E202" s="3"/>
      <c r="F202" s="3"/>
      <c r="G202" s="3"/>
    </row>
    <row r="203" spans="1:7">
      <c r="A203" s="3"/>
      <c r="B203" s="3"/>
      <c r="C203" s="3"/>
      <c r="D203" s="3"/>
      <c r="E203" s="3"/>
      <c r="F203" s="3"/>
      <c r="G203" s="3"/>
    </row>
    <row r="204" spans="1:7">
      <c r="A204" s="3"/>
      <c r="B204" s="3"/>
      <c r="C204" s="3"/>
      <c r="D204" s="3"/>
      <c r="E204" s="3"/>
      <c r="F204" s="3"/>
      <c r="G204" s="3"/>
    </row>
    <row r="205" spans="1:7">
      <c r="A205" s="3"/>
      <c r="B205" s="3"/>
      <c r="C205" s="3"/>
      <c r="D205" s="3"/>
      <c r="E205" s="3"/>
      <c r="F205" s="3"/>
      <c r="G205" s="3"/>
    </row>
    <row r="206" spans="1:7">
      <c r="A206" s="3"/>
      <c r="B206" s="3"/>
      <c r="C206" s="3"/>
      <c r="D206" s="3"/>
      <c r="E206" s="3"/>
      <c r="F206" s="3"/>
      <c r="G206" s="3"/>
    </row>
    <row r="207" spans="1:7">
      <c r="A207" s="3"/>
      <c r="B207" s="3"/>
      <c r="C207" s="3"/>
      <c r="D207" s="3"/>
      <c r="E207" s="3"/>
      <c r="F207" s="3"/>
      <c r="G207" s="3"/>
    </row>
    <row r="208" spans="1:7">
      <c r="A208" s="3"/>
      <c r="B208" s="3"/>
      <c r="C208" s="3"/>
      <c r="D208" s="3"/>
      <c r="E208" s="3"/>
      <c r="F208" s="3"/>
      <c r="G208" s="3"/>
    </row>
    <row r="209" spans="1:7">
      <c r="A209" s="3"/>
      <c r="B209" s="3"/>
      <c r="C209" s="3"/>
      <c r="D209" s="3"/>
      <c r="E209" s="3"/>
      <c r="F209" s="3"/>
      <c r="G209" s="3"/>
    </row>
    <row r="210" spans="1:7">
      <c r="A210" s="3"/>
      <c r="B210" s="3"/>
      <c r="C210" s="3"/>
      <c r="D210" s="3"/>
      <c r="E210" s="3"/>
      <c r="F210" s="3"/>
      <c r="G210" s="3"/>
    </row>
    <row r="211" spans="1:7">
      <c r="A211" s="3"/>
      <c r="B211" s="3"/>
      <c r="C211" s="3"/>
      <c r="D211" s="3"/>
      <c r="E211" s="3"/>
      <c r="F211" s="3"/>
      <c r="G211" s="3"/>
    </row>
    <row r="212" spans="1:7">
      <c r="A212" s="3"/>
      <c r="B212" s="3"/>
      <c r="C212" s="3"/>
      <c r="D212" s="3"/>
      <c r="E212" s="3"/>
      <c r="F212" s="3"/>
      <c r="G212" s="3"/>
    </row>
    <row r="213" spans="1:7">
      <c r="A213" s="3"/>
      <c r="B213" s="3"/>
      <c r="C213" s="3"/>
      <c r="D213" s="3"/>
      <c r="E213" s="3"/>
      <c r="F213" s="3"/>
      <c r="G213" s="3"/>
    </row>
    <row r="214" spans="1:7">
      <c r="A214" s="3"/>
      <c r="B214" s="3"/>
      <c r="C214" s="3"/>
      <c r="D214" s="3"/>
      <c r="E214" s="3"/>
      <c r="F214" s="3"/>
      <c r="G214" s="3"/>
    </row>
    <row r="215" spans="1:7">
      <c r="A215" s="3"/>
      <c r="B215" s="3"/>
      <c r="C215" s="3"/>
      <c r="D215" s="3"/>
      <c r="E215" s="3"/>
      <c r="F215" s="3"/>
      <c r="G215" s="3"/>
    </row>
    <row r="216" spans="1:7">
      <c r="A216" s="3"/>
      <c r="B216" s="3"/>
      <c r="C216" s="3"/>
      <c r="D216" s="3"/>
      <c r="E216" s="3"/>
      <c r="F216" s="3"/>
      <c r="G216" s="3"/>
    </row>
    <row r="217" spans="1:7">
      <c r="A217" s="3"/>
      <c r="B217" s="3"/>
      <c r="C217" s="3"/>
      <c r="D217" s="3"/>
      <c r="E217" s="3"/>
      <c r="F217" s="3"/>
      <c r="G217" s="3"/>
    </row>
    <row r="218" spans="1:7">
      <c r="A218" s="3"/>
      <c r="B218" s="3"/>
      <c r="C218" s="3"/>
      <c r="D218" s="3"/>
      <c r="E218" s="3"/>
      <c r="F218" s="3"/>
      <c r="G218" s="3"/>
    </row>
    <row r="219" spans="1:7">
      <c r="A219" s="3"/>
      <c r="B219" s="3"/>
      <c r="C219" s="3"/>
      <c r="D219" s="3"/>
      <c r="E219" s="3"/>
      <c r="F219" s="3"/>
      <c r="G219" s="3"/>
    </row>
    <row r="220" spans="1:7">
      <c r="A220" s="3"/>
      <c r="B220" s="3"/>
      <c r="C220" s="3"/>
      <c r="D220" s="3"/>
      <c r="E220" s="3"/>
      <c r="F220" s="3"/>
      <c r="G220" s="3"/>
    </row>
    <row r="221" spans="1:7">
      <c r="A221" s="3"/>
      <c r="B221" s="3"/>
      <c r="C221" s="3"/>
      <c r="D221" s="3"/>
      <c r="E221" s="3"/>
      <c r="F221" s="3"/>
      <c r="G221" s="3"/>
    </row>
    <row r="222" spans="1:7">
      <c r="A222" s="3"/>
      <c r="B222" s="3"/>
      <c r="C222" s="3"/>
      <c r="D222" s="3"/>
      <c r="E222" s="3"/>
      <c r="F222" s="3"/>
      <c r="G222" s="3"/>
    </row>
    <row r="223" spans="1:7">
      <c r="A223" s="3"/>
      <c r="B223" s="3"/>
      <c r="C223" s="3"/>
      <c r="D223" s="3"/>
      <c r="E223" s="3"/>
      <c r="F223" s="3"/>
      <c r="G223" s="3"/>
    </row>
    <row r="224" spans="1:7">
      <c r="A224" s="3"/>
      <c r="B224" s="3"/>
      <c r="C224" s="3"/>
      <c r="D224" s="3"/>
      <c r="E224" s="3"/>
      <c r="F224" s="3"/>
      <c r="G224" s="3"/>
    </row>
    <row r="225" spans="1:7">
      <c r="A225" s="3"/>
      <c r="B225" s="3"/>
      <c r="C225" s="3"/>
      <c r="D225" s="3"/>
      <c r="E225" s="3"/>
      <c r="F225" s="3"/>
      <c r="G225" s="3"/>
    </row>
    <row r="226" spans="1:7">
      <c r="A226" s="3"/>
      <c r="B226" s="3"/>
      <c r="C226" s="3"/>
      <c r="D226" s="3"/>
      <c r="E226" s="3"/>
      <c r="F226" s="3"/>
      <c r="G226" s="3"/>
    </row>
    <row r="227" spans="1:7">
      <c r="A227" s="3"/>
      <c r="B227" s="3"/>
      <c r="C227" s="3"/>
      <c r="D227" s="3"/>
      <c r="E227" s="3"/>
      <c r="F227" s="3"/>
      <c r="G227" s="3"/>
    </row>
    <row r="228" spans="1:7">
      <c r="A228" s="3"/>
      <c r="B228" s="3"/>
      <c r="C228" s="3"/>
      <c r="D228" s="3"/>
      <c r="E228" s="3"/>
      <c r="F228" s="3"/>
      <c r="G228" s="3"/>
    </row>
    <row r="229" spans="1:7">
      <c r="A229" s="3"/>
      <c r="B229" s="3"/>
      <c r="C229" s="3"/>
      <c r="D229" s="3"/>
      <c r="E229" s="3"/>
      <c r="F229" s="3"/>
      <c r="G229" s="3"/>
    </row>
    <row r="230" spans="1:7">
      <c r="A230" s="3"/>
      <c r="B230" s="3"/>
      <c r="C230" s="3"/>
      <c r="D230" s="3"/>
      <c r="E230" s="3"/>
      <c r="F230" s="3"/>
      <c r="G230" s="3"/>
    </row>
    <row r="231" spans="1:7">
      <c r="A231" s="3"/>
      <c r="B231" s="3"/>
      <c r="C231" s="3"/>
      <c r="D231" s="3"/>
      <c r="E231" s="3"/>
      <c r="F231" s="3"/>
      <c r="G231" s="3"/>
    </row>
    <row r="232" spans="1:7">
      <c r="A232" s="3"/>
      <c r="B232" s="3"/>
      <c r="C232" s="3"/>
      <c r="D232" s="3"/>
      <c r="E232" s="3"/>
      <c r="F232" s="3"/>
      <c r="G232" s="3"/>
    </row>
    <row r="233" spans="1:7">
      <c r="A233" s="3"/>
      <c r="B233" s="3"/>
      <c r="C233" s="3"/>
      <c r="D233" s="3"/>
      <c r="E233" s="3"/>
      <c r="F233" s="3"/>
      <c r="G233" s="3"/>
    </row>
    <row r="234" spans="1:7">
      <c r="A234" s="3"/>
      <c r="B234" s="3"/>
      <c r="C234" s="3"/>
      <c r="D234" s="3"/>
      <c r="E234" s="3"/>
      <c r="F234" s="3"/>
      <c r="G234" s="3"/>
    </row>
    <row r="235" spans="1:7">
      <c r="A235" s="3"/>
      <c r="B235" s="3"/>
      <c r="C235" s="3"/>
      <c r="D235" s="3"/>
      <c r="E235" s="3"/>
      <c r="F235" s="3"/>
      <c r="G235" s="3"/>
    </row>
    <row r="236" spans="1:7">
      <c r="A236" s="3"/>
      <c r="B236" s="3"/>
      <c r="C236" s="3"/>
      <c r="D236" s="3"/>
      <c r="E236" s="3"/>
      <c r="F236" s="3"/>
      <c r="G236" s="3"/>
    </row>
    <row r="237" spans="1:7">
      <c r="A237" s="3"/>
      <c r="B237" s="3"/>
      <c r="C237" s="3"/>
      <c r="D237" s="3"/>
      <c r="E237" s="3"/>
      <c r="F237" s="3"/>
      <c r="G237" s="3"/>
    </row>
    <row r="238" spans="1:7">
      <c r="A238" s="3"/>
      <c r="B238" s="3"/>
      <c r="C238" s="3"/>
      <c r="D238" s="3"/>
      <c r="E238" s="3"/>
      <c r="F238" s="3"/>
      <c r="G238" s="3"/>
    </row>
    <row r="239" spans="1:7">
      <c r="A239" s="3"/>
      <c r="B239" s="3"/>
      <c r="C239" s="3"/>
      <c r="D239" s="3"/>
      <c r="E239" s="3"/>
      <c r="F239" s="3"/>
      <c r="G239" s="3"/>
    </row>
    <row r="240" spans="1:7">
      <c r="A240" s="3"/>
      <c r="B240" s="3"/>
      <c r="C240" s="3"/>
      <c r="D240" s="3"/>
      <c r="E240" s="3"/>
      <c r="F240" s="3"/>
      <c r="G240" s="3"/>
    </row>
    <row r="241" spans="1:7">
      <c r="A241" s="3"/>
      <c r="B241" s="3"/>
      <c r="C241" s="3"/>
      <c r="D241" s="3"/>
      <c r="E241" s="3"/>
      <c r="F241" s="3"/>
      <c r="G241" s="3"/>
    </row>
    <row r="242" spans="1:7">
      <c r="A242" s="3"/>
      <c r="B242" s="3"/>
      <c r="C242" s="3"/>
      <c r="D242" s="3"/>
      <c r="E242" s="3"/>
      <c r="F242" s="3"/>
      <c r="G242" s="3"/>
    </row>
    <row r="243" spans="1:7">
      <c r="A243" s="3"/>
      <c r="B243" s="3"/>
      <c r="C243" s="3"/>
      <c r="D243" s="3"/>
      <c r="E243" s="3"/>
      <c r="F243" s="3"/>
      <c r="G243" s="3"/>
    </row>
    <row r="244" spans="1:7">
      <c r="A244" s="3"/>
      <c r="B244" s="3"/>
      <c r="C244" s="3"/>
      <c r="D244" s="3"/>
      <c r="E244" s="3"/>
      <c r="F244" s="3"/>
      <c r="G244" s="3"/>
    </row>
    <row r="245" spans="1:7">
      <c r="A245" s="3"/>
      <c r="B245" s="3"/>
      <c r="C245" s="3"/>
      <c r="D245" s="3"/>
      <c r="E245" s="3"/>
      <c r="F245" s="3"/>
      <c r="G245" s="3"/>
    </row>
    <row r="246" spans="1:7">
      <c r="A246" s="3"/>
      <c r="B246" s="3"/>
      <c r="C246" s="3"/>
      <c r="D246" s="3"/>
      <c r="E246" s="3"/>
      <c r="F246" s="3"/>
      <c r="G246" s="3"/>
    </row>
    <row r="247" spans="1:7">
      <c r="A247" s="3"/>
      <c r="B247" s="3"/>
      <c r="C247" s="3"/>
      <c r="D247" s="3"/>
      <c r="E247" s="3"/>
      <c r="F247" s="3"/>
      <c r="G247" s="3"/>
    </row>
    <row r="248" spans="1:7">
      <c r="A248" s="3"/>
      <c r="B248" s="3"/>
      <c r="C248" s="3"/>
      <c r="D248" s="3"/>
      <c r="E248" s="3"/>
      <c r="F248" s="3"/>
      <c r="G248" s="3"/>
    </row>
    <row r="249" spans="1:7">
      <c r="A249" s="3"/>
      <c r="B249" s="3"/>
      <c r="C249" s="3"/>
      <c r="D249" s="3"/>
      <c r="E249" s="3"/>
      <c r="F249" s="3"/>
      <c r="G249" s="3"/>
    </row>
    <row r="250" spans="1:7">
      <c r="A250" s="3"/>
      <c r="B250" s="3"/>
      <c r="C250" s="3"/>
      <c r="D250" s="3"/>
      <c r="E250" s="3"/>
      <c r="F250" s="3"/>
      <c r="G250" s="3"/>
    </row>
    <row r="251" spans="1:7">
      <c r="A251" s="3"/>
      <c r="B251" s="3"/>
      <c r="C251" s="3"/>
      <c r="D251" s="3"/>
      <c r="E251" s="3"/>
      <c r="F251" s="3"/>
      <c r="G251" s="3"/>
    </row>
    <row r="252" spans="1:7">
      <c r="A252" s="3"/>
      <c r="B252" s="3"/>
      <c r="C252" s="3"/>
      <c r="D252" s="3"/>
      <c r="E252" s="3"/>
      <c r="F252" s="3"/>
      <c r="G252" s="3"/>
    </row>
    <row r="253" spans="1:7">
      <c r="A253" s="3"/>
      <c r="B253" s="3"/>
      <c r="C253" s="3"/>
      <c r="D253" s="3"/>
      <c r="E253" s="3"/>
      <c r="F253" s="3"/>
      <c r="G253" s="3"/>
    </row>
    <row r="254" spans="1:7">
      <c r="A254" s="3"/>
      <c r="B254" s="3"/>
      <c r="C254" s="3"/>
      <c r="D254" s="3"/>
      <c r="E254" s="3"/>
      <c r="F254" s="3"/>
      <c r="G254" s="3"/>
    </row>
    <row r="255" spans="1:7">
      <c r="A255" s="3"/>
      <c r="B255" s="3"/>
      <c r="C255" s="3"/>
      <c r="D255" s="3"/>
      <c r="E255" s="3"/>
      <c r="F255" s="3"/>
      <c r="G255" s="3"/>
    </row>
    <row r="256" spans="1:7">
      <c r="A256" s="3"/>
      <c r="B256" s="3"/>
      <c r="C256" s="3"/>
      <c r="D256" s="3"/>
      <c r="E256" s="3"/>
      <c r="F256" s="3"/>
      <c r="G256" s="3"/>
    </row>
    <row r="257" spans="1:7">
      <c r="A257" s="3"/>
      <c r="B257" s="3"/>
      <c r="C257" s="3"/>
      <c r="D257" s="3"/>
      <c r="E257" s="3"/>
      <c r="F257" s="3"/>
      <c r="G257" s="3"/>
    </row>
    <row r="258" spans="1:7">
      <c r="A258" s="3"/>
      <c r="B258" s="3"/>
      <c r="C258" s="3"/>
      <c r="D258" s="3"/>
      <c r="E258" s="3"/>
      <c r="F258" s="3"/>
      <c r="G258" s="3"/>
    </row>
    <row r="259" spans="1:7">
      <c r="A259" s="3"/>
      <c r="B259" s="3"/>
      <c r="C259" s="3"/>
      <c r="D259" s="3"/>
      <c r="E259" s="3"/>
      <c r="F259" s="3"/>
      <c r="G259" s="3"/>
    </row>
    <row r="260" spans="1:7">
      <c r="A260" s="3"/>
      <c r="B260" s="3"/>
      <c r="C260" s="3"/>
      <c r="D260" s="3"/>
      <c r="E260" s="3"/>
      <c r="F260" s="3"/>
      <c r="G260" s="3"/>
    </row>
    <row r="261" spans="1:7">
      <c r="A261" s="3"/>
      <c r="B261" s="3"/>
      <c r="C261" s="3"/>
      <c r="D261" s="3"/>
      <c r="E261" s="3"/>
      <c r="F261" s="3"/>
      <c r="G261" s="3"/>
    </row>
    <row r="262" spans="1:7">
      <c r="A262" s="3"/>
      <c r="B262" s="3"/>
      <c r="C262" s="3"/>
      <c r="D262" s="3"/>
      <c r="E262" s="3"/>
      <c r="F262" s="3"/>
      <c r="G262" s="3"/>
    </row>
    <row r="263" spans="1:7">
      <c r="A263" s="3"/>
      <c r="B263" s="3"/>
      <c r="C263" s="3"/>
      <c r="D263" s="3"/>
      <c r="E263" s="3"/>
      <c r="F263" s="3"/>
      <c r="G263" s="3"/>
    </row>
    <row r="264" spans="1:7">
      <c r="A264" s="3"/>
      <c r="B264" s="3"/>
      <c r="C264" s="3"/>
      <c r="D264" s="3"/>
      <c r="E264" s="3"/>
      <c r="F264" s="3"/>
      <c r="G264" s="3"/>
    </row>
    <row r="265" spans="1:7">
      <c r="A265" s="3"/>
      <c r="B265" s="3"/>
      <c r="C265" s="3"/>
      <c r="D265" s="3"/>
      <c r="E265" s="3"/>
      <c r="F265" s="3"/>
      <c r="G265" s="3"/>
    </row>
    <row r="266" spans="1:7">
      <c r="A266" s="3"/>
      <c r="B266" s="3"/>
      <c r="C266" s="3"/>
      <c r="D266" s="3"/>
      <c r="E266" s="3"/>
      <c r="F266" s="3"/>
      <c r="G266" s="3"/>
    </row>
    <row r="267" spans="1:7">
      <c r="A267" s="3"/>
      <c r="B267" s="3"/>
      <c r="C267" s="3"/>
      <c r="D267" s="3"/>
      <c r="E267" s="3"/>
      <c r="F267" s="3"/>
      <c r="G267" s="3"/>
    </row>
    <row r="268" spans="1:7">
      <c r="A268" s="3"/>
      <c r="B268" s="3"/>
      <c r="C268" s="3"/>
      <c r="D268" s="3"/>
      <c r="E268" s="3"/>
      <c r="F268" s="3"/>
      <c r="G268" s="3"/>
    </row>
    <row r="269" spans="1:7">
      <c r="A269" s="3"/>
      <c r="B269" s="3"/>
      <c r="C269" s="3"/>
      <c r="D269" s="3"/>
      <c r="E269" s="3"/>
      <c r="F269" s="3"/>
      <c r="G269" s="3"/>
    </row>
    <row r="270" spans="1:7">
      <c r="A270" s="3"/>
      <c r="B270" s="3"/>
      <c r="C270" s="3"/>
      <c r="D270" s="3"/>
      <c r="E270" s="3"/>
      <c r="F270" s="3"/>
      <c r="G270" s="3"/>
    </row>
    <row r="271" spans="1:7">
      <c r="A271" s="3"/>
      <c r="B271" s="3"/>
      <c r="C271" s="3"/>
      <c r="D271" s="3"/>
      <c r="E271" s="3"/>
      <c r="F271" s="3"/>
      <c r="G271" s="3"/>
    </row>
    <row r="272" spans="1:7">
      <c r="A272" s="3"/>
      <c r="B272" s="3"/>
      <c r="C272" s="3"/>
      <c r="D272" s="3"/>
      <c r="E272" s="3"/>
      <c r="F272" s="3"/>
      <c r="G272" s="3"/>
    </row>
    <row r="273" spans="1:7">
      <c r="A273" s="3"/>
      <c r="B273" s="3"/>
      <c r="C273" s="3"/>
      <c r="D273" s="3"/>
      <c r="E273" s="3"/>
      <c r="F273" s="3"/>
      <c r="G273" s="3"/>
    </row>
    <row r="274" spans="1:7">
      <c r="A274" s="3"/>
      <c r="B274" s="3"/>
      <c r="C274" s="3"/>
      <c r="D274" s="3"/>
      <c r="E274" s="3"/>
      <c r="F274" s="3"/>
      <c r="G274" s="3"/>
    </row>
    <row r="275" spans="1:7">
      <c r="A275" s="3"/>
      <c r="B275" s="3"/>
      <c r="C275" s="3"/>
      <c r="D275" s="3"/>
      <c r="E275" s="3"/>
      <c r="F275" s="3"/>
      <c r="G275" s="3"/>
    </row>
    <row r="276" spans="1:7">
      <c r="A276" s="3"/>
      <c r="B276" s="3"/>
      <c r="C276" s="3"/>
      <c r="D276" s="3"/>
      <c r="E276" s="3"/>
      <c r="F276" s="3"/>
      <c r="G276" s="3"/>
    </row>
    <row r="277" spans="1:7">
      <c r="A277" s="3"/>
      <c r="B277" s="3"/>
      <c r="C277" s="3"/>
      <c r="D277" s="3"/>
      <c r="E277" s="3"/>
      <c r="F277" s="3"/>
      <c r="G277" s="3"/>
    </row>
    <row r="278" spans="1:7">
      <c r="A278" s="3"/>
      <c r="B278" s="3"/>
      <c r="C278" s="3"/>
      <c r="D278" s="3"/>
      <c r="E278" s="3"/>
      <c r="F278" s="3"/>
      <c r="G278" s="3"/>
    </row>
    <row r="279" spans="1:7">
      <c r="A279" s="3"/>
      <c r="B279" s="3"/>
      <c r="C279" s="3"/>
      <c r="D279" s="3"/>
      <c r="E279" s="3"/>
      <c r="F279" s="3"/>
      <c r="G279" s="3"/>
    </row>
    <row r="280" spans="1:7">
      <c r="A280" s="3"/>
      <c r="B280" s="3"/>
      <c r="C280" s="3"/>
      <c r="D280" s="3"/>
      <c r="E280" s="3"/>
      <c r="F280" s="3"/>
      <c r="G280" s="3"/>
    </row>
    <row r="281" spans="1:7">
      <c r="A281" s="3"/>
      <c r="B281" s="3"/>
      <c r="C281" s="3"/>
      <c r="D281" s="3"/>
      <c r="E281" s="3"/>
      <c r="F281" s="3"/>
      <c r="G281" s="3"/>
    </row>
    <row r="282" spans="1:7">
      <c r="A282" s="3"/>
      <c r="B282" s="3"/>
      <c r="C282" s="3"/>
      <c r="D282" s="3"/>
      <c r="E282" s="3"/>
      <c r="F282" s="3"/>
      <c r="G282" s="3"/>
    </row>
    <row r="283" spans="1:7">
      <c r="A283" s="3"/>
      <c r="B283" s="3"/>
      <c r="C283" s="3"/>
      <c r="D283" s="3"/>
      <c r="E283" s="3"/>
      <c r="F283" s="3"/>
      <c r="G283" s="3"/>
    </row>
    <row r="284" spans="1:7">
      <c r="A284" s="3"/>
      <c r="B284" s="3"/>
      <c r="C284" s="3"/>
      <c r="D284" s="3"/>
      <c r="E284" s="3"/>
      <c r="F284" s="3"/>
      <c r="G284" s="3"/>
    </row>
    <row r="285" spans="1:7">
      <c r="A285" s="3"/>
      <c r="B285" s="3"/>
      <c r="C285" s="3"/>
      <c r="D285" s="3"/>
      <c r="E285" s="3"/>
      <c r="F285" s="3"/>
      <c r="G285" s="3"/>
    </row>
    <row r="286" spans="1:7">
      <c r="A286" s="3"/>
      <c r="B286" s="3"/>
      <c r="C286" s="3"/>
      <c r="D286" s="3"/>
      <c r="E286" s="3"/>
      <c r="F286" s="3"/>
      <c r="G286" s="3"/>
    </row>
    <row r="287" spans="1:7">
      <c r="A287" s="3"/>
      <c r="B287" s="3"/>
      <c r="C287" s="3"/>
      <c r="D287" s="3"/>
      <c r="E287" s="3"/>
      <c r="F287" s="3"/>
      <c r="G287" s="3"/>
    </row>
    <row r="288" spans="1:7">
      <c r="A288" s="3"/>
      <c r="B288" s="3"/>
      <c r="C288" s="3"/>
      <c r="D288" s="3"/>
      <c r="E288" s="3"/>
      <c r="F288" s="3"/>
      <c r="G288" s="3"/>
    </row>
    <row r="289" spans="1:7">
      <c r="A289" s="3"/>
      <c r="B289" s="3"/>
      <c r="C289" s="3"/>
      <c r="D289" s="3"/>
      <c r="E289" s="3"/>
      <c r="F289" s="3"/>
      <c r="G289" s="3"/>
    </row>
    <row r="290" spans="1:7">
      <c r="A290" s="3"/>
      <c r="B290" s="3"/>
      <c r="C290" s="3"/>
      <c r="D290" s="3"/>
      <c r="E290" s="3"/>
      <c r="F290" s="3"/>
      <c r="G290" s="3"/>
    </row>
    <row r="291" spans="1:7">
      <c r="A291" s="3"/>
      <c r="B291" s="3"/>
      <c r="C291" s="3"/>
      <c r="D291" s="3"/>
      <c r="E291" s="3"/>
      <c r="F291" s="3"/>
      <c r="G291" s="3"/>
    </row>
    <row r="292" spans="1:7">
      <c r="A292" s="3"/>
      <c r="B292" s="3"/>
      <c r="C292" s="3"/>
      <c r="D292" s="3"/>
      <c r="E292" s="3"/>
      <c r="F292" s="3"/>
      <c r="G292" s="3"/>
    </row>
    <row r="293" spans="1:7">
      <c r="A293" s="3"/>
      <c r="B293" s="3"/>
      <c r="C293" s="3"/>
      <c r="D293" s="3"/>
      <c r="E293" s="3"/>
      <c r="F293" s="3"/>
      <c r="G293" s="3"/>
    </row>
    <row r="294" spans="1:7">
      <c r="A294" s="3"/>
      <c r="B294" s="3"/>
      <c r="C294" s="3"/>
      <c r="D294" s="3"/>
      <c r="E294" s="3"/>
      <c r="F294" s="3"/>
      <c r="G294" s="3"/>
    </row>
    <row r="295" spans="1:7">
      <c r="A295" s="3"/>
      <c r="B295" s="3"/>
      <c r="C295" s="3"/>
      <c r="D295" s="3"/>
      <c r="E295" s="3"/>
      <c r="F295" s="3"/>
      <c r="G295" s="3"/>
    </row>
    <row r="296" spans="1:7">
      <c r="A296" s="3"/>
      <c r="B296" s="3"/>
      <c r="C296" s="3"/>
      <c r="D296" s="3"/>
      <c r="E296" s="3"/>
      <c r="F296" s="3"/>
      <c r="G296" s="3"/>
    </row>
    <row r="297" spans="1:7">
      <c r="A297" s="3"/>
      <c r="B297" s="3"/>
      <c r="C297" s="3"/>
      <c r="D297" s="3"/>
      <c r="E297" s="3"/>
      <c r="F297" s="3"/>
      <c r="G297" s="3"/>
    </row>
    <row r="298" spans="1:7">
      <c r="A298" s="3"/>
      <c r="B298" s="3"/>
      <c r="C298" s="3"/>
      <c r="D298" s="3"/>
      <c r="E298" s="3"/>
      <c r="F298" s="3"/>
      <c r="G298" s="3"/>
    </row>
    <row r="299" spans="1:7">
      <c r="A299" s="3"/>
      <c r="B299" s="3"/>
      <c r="C299" s="3"/>
      <c r="D299" s="3"/>
      <c r="E299" s="3"/>
      <c r="F299" s="3"/>
      <c r="G299" s="3"/>
    </row>
    <row r="300" spans="1:7">
      <c r="A300" s="3"/>
      <c r="B300" s="3"/>
      <c r="C300" s="3"/>
      <c r="D300" s="3"/>
      <c r="E300" s="3"/>
      <c r="F300" s="3"/>
      <c r="G300" s="3"/>
    </row>
    <row r="301" spans="1:7">
      <c r="A301" s="3"/>
      <c r="B301" s="3"/>
      <c r="C301" s="3"/>
      <c r="D301" s="3"/>
      <c r="E301" s="3"/>
      <c r="F301" s="3"/>
      <c r="G301" s="3"/>
    </row>
    <row r="302" spans="1:7">
      <c r="A302" s="3"/>
      <c r="B302" s="3"/>
      <c r="C302" s="3"/>
      <c r="D302" s="3"/>
      <c r="E302" s="3"/>
      <c r="F302" s="3"/>
      <c r="G302" s="3"/>
    </row>
    <row r="303" spans="1:7">
      <c r="A303" s="3"/>
      <c r="B303" s="3"/>
      <c r="C303" s="3"/>
      <c r="D303" s="3"/>
      <c r="E303" s="3"/>
      <c r="F303" s="3"/>
      <c r="G303" s="3"/>
    </row>
    <row r="304" spans="1:7">
      <c r="A304" s="3"/>
      <c r="B304" s="3"/>
      <c r="C304" s="3"/>
      <c r="D304" s="3"/>
      <c r="E304" s="3"/>
      <c r="F304" s="3"/>
      <c r="G304" s="3"/>
    </row>
  </sheetData>
  <mergeCells count="1">
    <mergeCell ref="A2:G3"/>
  </mergeCells>
  <dataValidations count="2">
    <dataValidation type="list" allowBlank="1" showInputMessage="1" showErrorMessage="1" sqref="C5:C304">
      <formula1>"A1,A2,A3,A4,A5,A6"</formula1>
    </dataValidation>
    <dataValidation type="list" allowBlank="1" showInputMessage="1" showErrorMessage="1" sqref="F5:F304">
      <formula1>"是,否"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J3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5" width="24.7109375" customWidth="1"/>
    <col min="6" max="6" width="22.7109375" customWidth="1"/>
    <col min="7" max="8" width="26.7109375" customWidth="1"/>
    <col min="9" max="9" width="12.7109375" customWidth="1"/>
    <col min="10" max="10" width="20.7109375" customWidth="1"/>
  </cols>
  <sheetData>
    <row r="1" spans="1:10">
      <c r="A1" s="1" t="s">
        <v>9</v>
      </c>
    </row>
    <row r="2" spans="1:10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t="s">
        <v>2</v>
      </c>
      <c r="B4" t="s">
        <v>3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8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3"/>
      <c r="H304" s="3"/>
      <c r="I304" s="3"/>
      <c r="J304" s="3"/>
    </row>
  </sheetData>
  <mergeCells count="1">
    <mergeCell ref="A2:J3"/>
  </mergeCells>
  <dataValidations count="1">
    <dataValidation type="list" allowBlank="1" showInputMessage="1" showErrorMessage="1" sqref="C5:C304">
      <formula1>"开场,探需,方案,异议,收口,结束"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3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4.7109375" customWidth="1"/>
    <col min="4" max="4" width="30.7109375" customWidth="1"/>
    <col min="5" max="5" width="26.7109375" customWidth="1"/>
    <col min="6" max="6" width="12.7109375" customWidth="1"/>
    <col min="7" max="7" width="16.7109375" customWidth="1"/>
    <col min="8" max="8" width="12.7109375" customWidth="1"/>
    <col min="9" max="9" width="20.7109375" customWidth="1"/>
  </cols>
  <sheetData>
    <row r="1" spans="1:9">
      <c r="A1" s="1" t="s">
        <v>18</v>
      </c>
    </row>
    <row r="2" spans="1:9">
      <c r="A2" s="2" t="s">
        <v>19</v>
      </c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t="s">
        <v>2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8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  <row r="103" spans="1:9">
      <c r="A103" s="3"/>
      <c r="B103" s="3"/>
      <c r="C103" s="3"/>
      <c r="D103" s="3"/>
      <c r="E103" s="3"/>
      <c r="F103" s="3"/>
      <c r="G103" s="3"/>
      <c r="H103" s="3"/>
      <c r="I103" s="3"/>
    </row>
    <row r="104" spans="1:9">
      <c r="A104" s="3"/>
      <c r="B104" s="3"/>
      <c r="C104" s="3"/>
      <c r="D104" s="3"/>
      <c r="E104" s="3"/>
      <c r="F104" s="3"/>
      <c r="G104" s="3"/>
      <c r="H104" s="3"/>
      <c r="I104" s="3"/>
    </row>
    <row r="105" spans="1:9">
      <c r="A105" s="3"/>
      <c r="B105" s="3"/>
      <c r="C105" s="3"/>
      <c r="D105" s="3"/>
      <c r="E105" s="3"/>
      <c r="F105" s="3"/>
      <c r="G105" s="3"/>
      <c r="H105" s="3"/>
      <c r="I105" s="3"/>
    </row>
    <row r="106" spans="1:9">
      <c r="A106" s="3"/>
      <c r="B106" s="3"/>
      <c r="C106" s="3"/>
      <c r="D106" s="3"/>
      <c r="E106" s="3"/>
      <c r="F106" s="3"/>
      <c r="G106" s="3"/>
      <c r="H106" s="3"/>
      <c r="I106" s="3"/>
    </row>
    <row r="107" spans="1:9">
      <c r="A107" s="3"/>
      <c r="B107" s="3"/>
      <c r="C107" s="3"/>
      <c r="D107" s="3"/>
      <c r="E107" s="3"/>
      <c r="F107" s="3"/>
      <c r="G107" s="3"/>
      <c r="H107" s="3"/>
      <c r="I107" s="3"/>
    </row>
    <row r="108" spans="1:9">
      <c r="A108" s="3"/>
      <c r="B108" s="3"/>
      <c r="C108" s="3"/>
      <c r="D108" s="3"/>
      <c r="E108" s="3"/>
      <c r="F108" s="3"/>
      <c r="G108" s="3"/>
      <c r="H108" s="3"/>
      <c r="I108" s="3"/>
    </row>
    <row r="109" spans="1:9">
      <c r="A109" s="3"/>
      <c r="B109" s="3"/>
      <c r="C109" s="3"/>
      <c r="D109" s="3"/>
      <c r="E109" s="3"/>
      <c r="F109" s="3"/>
      <c r="G109" s="3"/>
      <c r="H109" s="3"/>
      <c r="I109" s="3"/>
    </row>
    <row r="110" spans="1:9">
      <c r="A110" s="3"/>
      <c r="B110" s="3"/>
      <c r="C110" s="3"/>
      <c r="D110" s="3"/>
      <c r="E110" s="3"/>
      <c r="F110" s="3"/>
      <c r="G110" s="3"/>
      <c r="H110" s="3"/>
      <c r="I110" s="3"/>
    </row>
    <row r="111" spans="1:9">
      <c r="A111" s="3"/>
      <c r="B111" s="3"/>
      <c r="C111" s="3"/>
      <c r="D111" s="3"/>
      <c r="E111" s="3"/>
      <c r="F111" s="3"/>
      <c r="G111" s="3"/>
      <c r="H111" s="3"/>
      <c r="I111" s="3"/>
    </row>
    <row r="112" spans="1:9">
      <c r="A112" s="3"/>
      <c r="B112" s="3"/>
      <c r="C112" s="3"/>
      <c r="D112" s="3"/>
      <c r="E112" s="3"/>
      <c r="F112" s="3"/>
      <c r="G112" s="3"/>
      <c r="H112" s="3"/>
      <c r="I112" s="3"/>
    </row>
    <row r="113" spans="1:9">
      <c r="A113" s="3"/>
      <c r="B113" s="3"/>
      <c r="C113" s="3"/>
      <c r="D113" s="3"/>
      <c r="E113" s="3"/>
      <c r="F113" s="3"/>
      <c r="G113" s="3"/>
      <c r="H113" s="3"/>
      <c r="I113" s="3"/>
    </row>
    <row r="114" spans="1:9">
      <c r="A114" s="3"/>
      <c r="B114" s="3"/>
      <c r="C114" s="3"/>
      <c r="D114" s="3"/>
      <c r="E114" s="3"/>
      <c r="F114" s="3"/>
      <c r="G114" s="3"/>
      <c r="H114" s="3"/>
      <c r="I114" s="3"/>
    </row>
    <row r="115" spans="1:9">
      <c r="A115" s="3"/>
      <c r="B115" s="3"/>
      <c r="C115" s="3"/>
      <c r="D115" s="3"/>
      <c r="E115" s="3"/>
      <c r="F115" s="3"/>
      <c r="G115" s="3"/>
      <c r="H115" s="3"/>
      <c r="I115" s="3"/>
    </row>
    <row r="116" spans="1:9">
      <c r="A116" s="3"/>
      <c r="B116" s="3"/>
      <c r="C116" s="3"/>
      <c r="D116" s="3"/>
      <c r="E116" s="3"/>
      <c r="F116" s="3"/>
      <c r="G116" s="3"/>
      <c r="H116" s="3"/>
      <c r="I116" s="3"/>
    </row>
    <row r="117" spans="1:9">
      <c r="A117" s="3"/>
      <c r="B117" s="3"/>
      <c r="C117" s="3"/>
      <c r="D117" s="3"/>
      <c r="E117" s="3"/>
      <c r="F117" s="3"/>
      <c r="G117" s="3"/>
      <c r="H117" s="3"/>
      <c r="I117" s="3"/>
    </row>
    <row r="118" spans="1:9">
      <c r="A118" s="3"/>
      <c r="B118" s="3"/>
      <c r="C118" s="3"/>
      <c r="D118" s="3"/>
      <c r="E118" s="3"/>
      <c r="F118" s="3"/>
      <c r="G118" s="3"/>
      <c r="H118" s="3"/>
      <c r="I118" s="3"/>
    </row>
    <row r="119" spans="1:9">
      <c r="A119" s="3"/>
      <c r="B119" s="3"/>
      <c r="C119" s="3"/>
      <c r="D119" s="3"/>
      <c r="E119" s="3"/>
      <c r="F119" s="3"/>
      <c r="G119" s="3"/>
      <c r="H119" s="3"/>
      <c r="I119" s="3"/>
    </row>
    <row r="120" spans="1:9">
      <c r="A120" s="3"/>
      <c r="B120" s="3"/>
      <c r="C120" s="3"/>
      <c r="D120" s="3"/>
      <c r="E120" s="3"/>
      <c r="F120" s="3"/>
      <c r="G120" s="3"/>
      <c r="H120" s="3"/>
      <c r="I120" s="3"/>
    </row>
    <row r="121" spans="1:9">
      <c r="A121" s="3"/>
      <c r="B121" s="3"/>
      <c r="C121" s="3"/>
      <c r="D121" s="3"/>
      <c r="E121" s="3"/>
      <c r="F121" s="3"/>
      <c r="G121" s="3"/>
      <c r="H121" s="3"/>
      <c r="I121" s="3"/>
    </row>
    <row r="122" spans="1:9">
      <c r="A122" s="3"/>
      <c r="B122" s="3"/>
      <c r="C122" s="3"/>
      <c r="D122" s="3"/>
      <c r="E122" s="3"/>
      <c r="F122" s="3"/>
      <c r="G122" s="3"/>
      <c r="H122" s="3"/>
      <c r="I122" s="3"/>
    </row>
    <row r="123" spans="1:9">
      <c r="A123" s="3"/>
      <c r="B123" s="3"/>
      <c r="C123" s="3"/>
      <c r="D123" s="3"/>
      <c r="E123" s="3"/>
      <c r="F123" s="3"/>
      <c r="G123" s="3"/>
      <c r="H123" s="3"/>
      <c r="I123" s="3"/>
    </row>
    <row r="124" spans="1:9">
      <c r="A124" s="3"/>
      <c r="B124" s="3"/>
      <c r="C124" s="3"/>
      <c r="D124" s="3"/>
      <c r="E124" s="3"/>
      <c r="F124" s="3"/>
      <c r="G124" s="3"/>
      <c r="H124" s="3"/>
      <c r="I124" s="3"/>
    </row>
    <row r="125" spans="1:9">
      <c r="A125" s="3"/>
      <c r="B125" s="3"/>
      <c r="C125" s="3"/>
      <c r="D125" s="3"/>
      <c r="E125" s="3"/>
      <c r="F125" s="3"/>
      <c r="G125" s="3"/>
      <c r="H125" s="3"/>
      <c r="I125" s="3"/>
    </row>
    <row r="126" spans="1:9">
      <c r="A126" s="3"/>
      <c r="B126" s="3"/>
      <c r="C126" s="3"/>
      <c r="D126" s="3"/>
      <c r="E126" s="3"/>
      <c r="F126" s="3"/>
      <c r="G126" s="3"/>
      <c r="H126" s="3"/>
      <c r="I126" s="3"/>
    </row>
    <row r="127" spans="1:9">
      <c r="A127" s="3"/>
      <c r="B127" s="3"/>
      <c r="C127" s="3"/>
      <c r="D127" s="3"/>
      <c r="E127" s="3"/>
      <c r="F127" s="3"/>
      <c r="G127" s="3"/>
      <c r="H127" s="3"/>
      <c r="I127" s="3"/>
    </row>
    <row r="128" spans="1:9">
      <c r="A128" s="3"/>
      <c r="B128" s="3"/>
      <c r="C128" s="3"/>
      <c r="D128" s="3"/>
      <c r="E128" s="3"/>
      <c r="F128" s="3"/>
      <c r="G128" s="3"/>
      <c r="H128" s="3"/>
      <c r="I128" s="3"/>
    </row>
    <row r="129" spans="1:9">
      <c r="A129" s="3"/>
      <c r="B129" s="3"/>
      <c r="C129" s="3"/>
      <c r="D129" s="3"/>
      <c r="E129" s="3"/>
      <c r="F129" s="3"/>
      <c r="G129" s="3"/>
      <c r="H129" s="3"/>
      <c r="I129" s="3"/>
    </row>
    <row r="130" spans="1:9">
      <c r="A130" s="3"/>
      <c r="B130" s="3"/>
      <c r="C130" s="3"/>
      <c r="D130" s="3"/>
      <c r="E130" s="3"/>
      <c r="F130" s="3"/>
      <c r="G130" s="3"/>
      <c r="H130" s="3"/>
      <c r="I130" s="3"/>
    </row>
    <row r="131" spans="1:9">
      <c r="A131" s="3"/>
      <c r="B131" s="3"/>
      <c r="C131" s="3"/>
      <c r="D131" s="3"/>
      <c r="E131" s="3"/>
      <c r="F131" s="3"/>
      <c r="G131" s="3"/>
      <c r="H131" s="3"/>
      <c r="I131" s="3"/>
    </row>
    <row r="132" spans="1:9">
      <c r="A132" s="3"/>
      <c r="B132" s="3"/>
      <c r="C132" s="3"/>
      <c r="D132" s="3"/>
      <c r="E132" s="3"/>
      <c r="F132" s="3"/>
      <c r="G132" s="3"/>
      <c r="H132" s="3"/>
      <c r="I132" s="3"/>
    </row>
    <row r="133" spans="1:9">
      <c r="A133" s="3"/>
      <c r="B133" s="3"/>
      <c r="C133" s="3"/>
      <c r="D133" s="3"/>
      <c r="E133" s="3"/>
      <c r="F133" s="3"/>
      <c r="G133" s="3"/>
      <c r="H133" s="3"/>
      <c r="I133" s="3"/>
    </row>
    <row r="134" spans="1:9">
      <c r="A134" s="3"/>
      <c r="B134" s="3"/>
      <c r="C134" s="3"/>
      <c r="D134" s="3"/>
      <c r="E134" s="3"/>
      <c r="F134" s="3"/>
      <c r="G134" s="3"/>
      <c r="H134" s="3"/>
      <c r="I134" s="3"/>
    </row>
    <row r="135" spans="1:9">
      <c r="A135" s="3"/>
      <c r="B135" s="3"/>
      <c r="C135" s="3"/>
      <c r="D135" s="3"/>
      <c r="E135" s="3"/>
      <c r="F135" s="3"/>
      <c r="G135" s="3"/>
      <c r="H135" s="3"/>
      <c r="I135" s="3"/>
    </row>
    <row r="136" spans="1:9">
      <c r="A136" s="3"/>
      <c r="B136" s="3"/>
      <c r="C136" s="3"/>
      <c r="D136" s="3"/>
      <c r="E136" s="3"/>
      <c r="F136" s="3"/>
      <c r="G136" s="3"/>
      <c r="H136" s="3"/>
      <c r="I136" s="3"/>
    </row>
    <row r="137" spans="1:9">
      <c r="A137" s="3"/>
      <c r="B137" s="3"/>
      <c r="C137" s="3"/>
      <c r="D137" s="3"/>
      <c r="E137" s="3"/>
      <c r="F137" s="3"/>
      <c r="G137" s="3"/>
      <c r="H137" s="3"/>
      <c r="I137" s="3"/>
    </row>
    <row r="138" spans="1:9">
      <c r="A138" s="3"/>
      <c r="B138" s="3"/>
      <c r="C138" s="3"/>
      <c r="D138" s="3"/>
      <c r="E138" s="3"/>
      <c r="F138" s="3"/>
      <c r="G138" s="3"/>
      <c r="H138" s="3"/>
      <c r="I138" s="3"/>
    </row>
    <row r="139" spans="1:9">
      <c r="A139" s="3"/>
      <c r="B139" s="3"/>
      <c r="C139" s="3"/>
      <c r="D139" s="3"/>
      <c r="E139" s="3"/>
      <c r="F139" s="3"/>
      <c r="G139" s="3"/>
      <c r="H139" s="3"/>
      <c r="I139" s="3"/>
    </row>
    <row r="140" spans="1:9">
      <c r="A140" s="3"/>
      <c r="B140" s="3"/>
      <c r="C140" s="3"/>
      <c r="D140" s="3"/>
      <c r="E140" s="3"/>
      <c r="F140" s="3"/>
      <c r="G140" s="3"/>
      <c r="H140" s="3"/>
      <c r="I140" s="3"/>
    </row>
    <row r="141" spans="1:9">
      <c r="A141" s="3"/>
      <c r="B141" s="3"/>
      <c r="C141" s="3"/>
      <c r="D141" s="3"/>
      <c r="E141" s="3"/>
      <c r="F141" s="3"/>
      <c r="G141" s="3"/>
      <c r="H141" s="3"/>
      <c r="I141" s="3"/>
    </row>
    <row r="142" spans="1:9">
      <c r="A142" s="3"/>
      <c r="B142" s="3"/>
      <c r="C142" s="3"/>
      <c r="D142" s="3"/>
      <c r="E142" s="3"/>
      <c r="F142" s="3"/>
      <c r="G142" s="3"/>
      <c r="H142" s="3"/>
      <c r="I142" s="3"/>
    </row>
    <row r="143" spans="1:9">
      <c r="A143" s="3"/>
      <c r="B143" s="3"/>
      <c r="C143" s="3"/>
      <c r="D143" s="3"/>
      <c r="E143" s="3"/>
      <c r="F143" s="3"/>
      <c r="G143" s="3"/>
      <c r="H143" s="3"/>
      <c r="I143" s="3"/>
    </row>
    <row r="144" spans="1:9">
      <c r="A144" s="3"/>
      <c r="B144" s="3"/>
      <c r="C144" s="3"/>
      <c r="D144" s="3"/>
      <c r="E144" s="3"/>
      <c r="F144" s="3"/>
      <c r="G144" s="3"/>
      <c r="H144" s="3"/>
      <c r="I144" s="3"/>
    </row>
    <row r="145" spans="1:9">
      <c r="A145" s="3"/>
      <c r="B145" s="3"/>
      <c r="C145" s="3"/>
      <c r="D145" s="3"/>
      <c r="E145" s="3"/>
      <c r="F145" s="3"/>
      <c r="G145" s="3"/>
      <c r="H145" s="3"/>
      <c r="I145" s="3"/>
    </row>
    <row r="146" spans="1:9">
      <c r="A146" s="3"/>
      <c r="B146" s="3"/>
      <c r="C146" s="3"/>
      <c r="D146" s="3"/>
      <c r="E146" s="3"/>
      <c r="F146" s="3"/>
      <c r="G146" s="3"/>
      <c r="H146" s="3"/>
      <c r="I146" s="3"/>
    </row>
    <row r="147" spans="1:9">
      <c r="A147" s="3"/>
      <c r="B147" s="3"/>
      <c r="C147" s="3"/>
      <c r="D147" s="3"/>
      <c r="E147" s="3"/>
      <c r="F147" s="3"/>
      <c r="G147" s="3"/>
      <c r="H147" s="3"/>
      <c r="I147" s="3"/>
    </row>
    <row r="148" spans="1:9">
      <c r="A148" s="3"/>
      <c r="B148" s="3"/>
      <c r="C148" s="3"/>
      <c r="D148" s="3"/>
      <c r="E148" s="3"/>
      <c r="F148" s="3"/>
      <c r="G148" s="3"/>
      <c r="H148" s="3"/>
      <c r="I148" s="3"/>
    </row>
    <row r="149" spans="1:9">
      <c r="A149" s="3"/>
      <c r="B149" s="3"/>
      <c r="C149" s="3"/>
      <c r="D149" s="3"/>
      <c r="E149" s="3"/>
      <c r="F149" s="3"/>
      <c r="G149" s="3"/>
      <c r="H149" s="3"/>
      <c r="I149" s="3"/>
    </row>
    <row r="150" spans="1:9">
      <c r="A150" s="3"/>
      <c r="B150" s="3"/>
      <c r="C150" s="3"/>
      <c r="D150" s="3"/>
      <c r="E150" s="3"/>
      <c r="F150" s="3"/>
      <c r="G150" s="3"/>
      <c r="H150" s="3"/>
      <c r="I150" s="3"/>
    </row>
    <row r="151" spans="1:9">
      <c r="A151" s="3"/>
      <c r="B151" s="3"/>
      <c r="C151" s="3"/>
      <c r="D151" s="3"/>
      <c r="E151" s="3"/>
      <c r="F151" s="3"/>
      <c r="G151" s="3"/>
      <c r="H151" s="3"/>
      <c r="I151" s="3"/>
    </row>
    <row r="152" spans="1:9">
      <c r="A152" s="3"/>
      <c r="B152" s="3"/>
      <c r="C152" s="3"/>
      <c r="D152" s="3"/>
      <c r="E152" s="3"/>
      <c r="F152" s="3"/>
      <c r="G152" s="3"/>
      <c r="H152" s="3"/>
      <c r="I152" s="3"/>
    </row>
    <row r="153" spans="1:9">
      <c r="A153" s="3"/>
      <c r="B153" s="3"/>
      <c r="C153" s="3"/>
      <c r="D153" s="3"/>
      <c r="E153" s="3"/>
      <c r="F153" s="3"/>
      <c r="G153" s="3"/>
      <c r="H153" s="3"/>
      <c r="I153" s="3"/>
    </row>
    <row r="154" spans="1:9">
      <c r="A154" s="3"/>
      <c r="B154" s="3"/>
      <c r="C154" s="3"/>
      <c r="D154" s="3"/>
      <c r="E154" s="3"/>
      <c r="F154" s="3"/>
      <c r="G154" s="3"/>
      <c r="H154" s="3"/>
      <c r="I154" s="3"/>
    </row>
    <row r="155" spans="1:9">
      <c r="A155" s="3"/>
      <c r="B155" s="3"/>
      <c r="C155" s="3"/>
      <c r="D155" s="3"/>
      <c r="E155" s="3"/>
      <c r="F155" s="3"/>
      <c r="G155" s="3"/>
      <c r="H155" s="3"/>
      <c r="I155" s="3"/>
    </row>
    <row r="156" spans="1:9">
      <c r="A156" s="3"/>
      <c r="B156" s="3"/>
      <c r="C156" s="3"/>
      <c r="D156" s="3"/>
      <c r="E156" s="3"/>
      <c r="F156" s="3"/>
      <c r="G156" s="3"/>
      <c r="H156" s="3"/>
      <c r="I156" s="3"/>
    </row>
    <row r="157" spans="1:9">
      <c r="A157" s="3"/>
      <c r="B157" s="3"/>
      <c r="C157" s="3"/>
      <c r="D157" s="3"/>
      <c r="E157" s="3"/>
      <c r="F157" s="3"/>
      <c r="G157" s="3"/>
      <c r="H157" s="3"/>
      <c r="I157" s="3"/>
    </row>
    <row r="158" spans="1:9">
      <c r="A158" s="3"/>
      <c r="B158" s="3"/>
      <c r="C158" s="3"/>
      <c r="D158" s="3"/>
      <c r="E158" s="3"/>
      <c r="F158" s="3"/>
      <c r="G158" s="3"/>
      <c r="H158" s="3"/>
      <c r="I158" s="3"/>
    </row>
    <row r="159" spans="1:9">
      <c r="A159" s="3"/>
      <c r="B159" s="3"/>
      <c r="C159" s="3"/>
      <c r="D159" s="3"/>
      <c r="E159" s="3"/>
      <c r="F159" s="3"/>
      <c r="G159" s="3"/>
      <c r="H159" s="3"/>
      <c r="I159" s="3"/>
    </row>
    <row r="160" spans="1:9">
      <c r="A160" s="3"/>
      <c r="B160" s="3"/>
      <c r="C160" s="3"/>
      <c r="D160" s="3"/>
      <c r="E160" s="3"/>
      <c r="F160" s="3"/>
      <c r="G160" s="3"/>
      <c r="H160" s="3"/>
      <c r="I160" s="3"/>
    </row>
    <row r="161" spans="1:9">
      <c r="A161" s="3"/>
      <c r="B161" s="3"/>
      <c r="C161" s="3"/>
      <c r="D161" s="3"/>
      <c r="E161" s="3"/>
      <c r="F161" s="3"/>
      <c r="G161" s="3"/>
      <c r="H161" s="3"/>
      <c r="I161" s="3"/>
    </row>
    <row r="162" spans="1:9">
      <c r="A162" s="3"/>
      <c r="B162" s="3"/>
      <c r="C162" s="3"/>
      <c r="D162" s="3"/>
      <c r="E162" s="3"/>
      <c r="F162" s="3"/>
      <c r="G162" s="3"/>
      <c r="H162" s="3"/>
      <c r="I162" s="3"/>
    </row>
    <row r="163" spans="1:9">
      <c r="A163" s="3"/>
      <c r="B163" s="3"/>
      <c r="C163" s="3"/>
      <c r="D163" s="3"/>
      <c r="E163" s="3"/>
      <c r="F163" s="3"/>
      <c r="G163" s="3"/>
      <c r="H163" s="3"/>
      <c r="I163" s="3"/>
    </row>
    <row r="164" spans="1:9">
      <c r="A164" s="3"/>
      <c r="B164" s="3"/>
      <c r="C164" s="3"/>
      <c r="D164" s="3"/>
      <c r="E164" s="3"/>
      <c r="F164" s="3"/>
      <c r="G164" s="3"/>
      <c r="H164" s="3"/>
      <c r="I164" s="3"/>
    </row>
    <row r="165" spans="1:9">
      <c r="A165" s="3"/>
      <c r="B165" s="3"/>
      <c r="C165" s="3"/>
      <c r="D165" s="3"/>
      <c r="E165" s="3"/>
      <c r="F165" s="3"/>
      <c r="G165" s="3"/>
      <c r="H165" s="3"/>
      <c r="I165" s="3"/>
    </row>
    <row r="166" spans="1:9">
      <c r="A166" s="3"/>
      <c r="B166" s="3"/>
      <c r="C166" s="3"/>
      <c r="D166" s="3"/>
      <c r="E166" s="3"/>
      <c r="F166" s="3"/>
      <c r="G166" s="3"/>
      <c r="H166" s="3"/>
      <c r="I166" s="3"/>
    </row>
    <row r="167" spans="1:9">
      <c r="A167" s="3"/>
      <c r="B167" s="3"/>
      <c r="C167" s="3"/>
      <c r="D167" s="3"/>
      <c r="E167" s="3"/>
      <c r="F167" s="3"/>
      <c r="G167" s="3"/>
      <c r="H167" s="3"/>
      <c r="I167" s="3"/>
    </row>
    <row r="168" spans="1:9">
      <c r="A168" s="3"/>
      <c r="B168" s="3"/>
      <c r="C168" s="3"/>
      <c r="D168" s="3"/>
      <c r="E168" s="3"/>
      <c r="F168" s="3"/>
      <c r="G168" s="3"/>
      <c r="H168" s="3"/>
      <c r="I168" s="3"/>
    </row>
    <row r="169" spans="1:9">
      <c r="A169" s="3"/>
      <c r="B169" s="3"/>
      <c r="C169" s="3"/>
      <c r="D169" s="3"/>
      <c r="E169" s="3"/>
      <c r="F169" s="3"/>
      <c r="G169" s="3"/>
      <c r="H169" s="3"/>
      <c r="I169" s="3"/>
    </row>
    <row r="170" spans="1:9">
      <c r="A170" s="3"/>
      <c r="B170" s="3"/>
      <c r="C170" s="3"/>
      <c r="D170" s="3"/>
      <c r="E170" s="3"/>
      <c r="F170" s="3"/>
      <c r="G170" s="3"/>
      <c r="H170" s="3"/>
      <c r="I170" s="3"/>
    </row>
    <row r="171" spans="1:9">
      <c r="A171" s="3"/>
      <c r="B171" s="3"/>
      <c r="C171" s="3"/>
      <c r="D171" s="3"/>
      <c r="E171" s="3"/>
      <c r="F171" s="3"/>
      <c r="G171" s="3"/>
      <c r="H171" s="3"/>
      <c r="I171" s="3"/>
    </row>
    <row r="172" spans="1:9">
      <c r="A172" s="3"/>
      <c r="B172" s="3"/>
      <c r="C172" s="3"/>
      <c r="D172" s="3"/>
      <c r="E172" s="3"/>
      <c r="F172" s="3"/>
      <c r="G172" s="3"/>
      <c r="H172" s="3"/>
      <c r="I172" s="3"/>
    </row>
    <row r="173" spans="1:9">
      <c r="A173" s="3"/>
      <c r="B173" s="3"/>
      <c r="C173" s="3"/>
      <c r="D173" s="3"/>
      <c r="E173" s="3"/>
      <c r="F173" s="3"/>
      <c r="G173" s="3"/>
      <c r="H173" s="3"/>
      <c r="I173" s="3"/>
    </row>
    <row r="174" spans="1:9">
      <c r="A174" s="3"/>
      <c r="B174" s="3"/>
      <c r="C174" s="3"/>
      <c r="D174" s="3"/>
      <c r="E174" s="3"/>
      <c r="F174" s="3"/>
      <c r="G174" s="3"/>
      <c r="H174" s="3"/>
      <c r="I174" s="3"/>
    </row>
    <row r="175" spans="1:9">
      <c r="A175" s="3"/>
      <c r="B175" s="3"/>
      <c r="C175" s="3"/>
      <c r="D175" s="3"/>
      <c r="E175" s="3"/>
      <c r="F175" s="3"/>
      <c r="G175" s="3"/>
      <c r="H175" s="3"/>
      <c r="I175" s="3"/>
    </row>
    <row r="176" spans="1:9">
      <c r="A176" s="3"/>
      <c r="B176" s="3"/>
      <c r="C176" s="3"/>
      <c r="D176" s="3"/>
      <c r="E176" s="3"/>
      <c r="F176" s="3"/>
      <c r="G176" s="3"/>
      <c r="H176" s="3"/>
      <c r="I176" s="3"/>
    </row>
    <row r="177" spans="1:9">
      <c r="A177" s="3"/>
      <c r="B177" s="3"/>
      <c r="C177" s="3"/>
      <c r="D177" s="3"/>
      <c r="E177" s="3"/>
      <c r="F177" s="3"/>
      <c r="G177" s="3"/>
      <c r="H177" s="3"/>
      <c r="I177" s="3"/>
    </row>
    <row r="178" spans="1:9">
      <c r="A178" s="3"/>
      <c r="B178" s="3"/>
      <c r="C178" s="3"/>
      <c r="D178" s="3"/>
      <c r="E178" s="3"/>
      <c r="F178" s="3"/>
      <c r="G178" s="3"/>
      <c r="H178" s="3"/>
      <c r="I178" s="3"/>
    </row>
    <row r="179" spans="1:9">
      <c r="A179" s="3"/>
      <c r="B179" s="3"/>
      <c r="C179" s="3"/>
      <c r="D179" s="3"/>
      <c r="E179" s="3"/>
      <c r="F179" s="3"/>
      <c r="G179" s="3"/>
      <c r="H179" s="3"/>
      <c r="I179" s="3"/>
    </row>
    <row r="180" spans="1:9">
      <c r="A180" s="3"/>
      <c r="B180" s="3"/>
      <c r="C180" s="3"/>
      <c r="D180" s="3"/>
      <c r="E180" s="3"/>
      <c r="F180" s="3"/>
      <c r="G180" s="3"/>
      <c r="H180" s="3"/>
      <c r="I180" s="3"/>
    </row>
    <row r="181" spans="1:9">
      <c r="A181" s="3"/>
      <c r="B181" s="3"/>
      <c r="C181" s="3"/>
      <c r="D181" s="3"/>
      <c r="E181" s="3"/>
      <c r="F181" s="3"/>
      <c r="G181" s="3"/>
      <c r="H181" s="3"/>
      <c r="I181" s="3"/>
    </row>
    <row r="182" spans="1:9">
      <c r="A182" s="3"/>
      <c r="B182" s="3"/>
      <c r="C182" s="3"/>
      <c r="D182" s="3"/>
      <c r="E182" s="3"/>
      <c r="F182" s="3"/>
      <c r="G182" s="3"/>
      <c r="H182" s="3"/>
      <c r="I182" s="3"/>
    </row>
    <row r="183" spans="1:9">
      <c r="A183" s="3"/>
      <c r="B183" s="3"/>
      <c r="C183" s="3"/>
      <c r="D183" s="3"/>
      <c r="E183" s="3"/>
      <c r="F183" s="3"/>
      <c r="G183" s="3"/>
      <c r="H183" s="3"/>
      <c r="I183" s="3"/>
    </row>
    <row r="184" spans="1:9">
      <c r="A184" s="3"/>
      <c r="B184" s="3"/>
      <c r="C184" s="3"/>
      <c r="D184" s="3"/>
      <c r="E184" s="3"/>
      <c r="F184" s="3"/>
      <c r="G184" s="3"/>
      <c r="H184" s="3"/>
      <c r="I184" s="3"/>
    </row>
    <row r="185" spans="1:9">
      <c r="A185" s="3"/>
      <c r="B185" s="3"/>
      <c r="C185" s="3"/>
      <c r="D185" s="3"/>
      <c r="E185" s="3"/>
      <c r="F185" s="3"/>
      <c r="G185" s="3"/>
      <c r="H185" s="3"/>
      <c r="I185" s="3"/>
    </row>
    <row r="186" spans="1:9">
      <c r="A186" s="3"/>
      <c r="B186" s="3"/>
      <c r="C186" s="3"/>
      <c r="D186" s="3"/>
      <c r="E186" s="3"/>
      <c r="F186" s="3"/>
      <c r="G186" s="3"/>
      <c r="H186" s="3"/>
      <c r="I186" s="3"/>
    </row>
    <row r="187" spans="1:9">
      <c r="A187" s="3"/>
      <c r="B187" s="3"/>
      <c r="C187" s="3"/>
      <c r="D187" s="3"/>
      <c r="E187" s="3"/>
      <c r="F187" s="3"/>
      <c r="G187" s="3"/>
      <c r="H187" s="3"/>
      <c r="I187" s="3"/>
    </row>
    <row r="188" spans="1:9">
      <c r="A188" s="3"/>
      <c r="B188" s="3"/>
      <c r="C188" s="3"/>
      <c r="D188" s="3"/>
      <c r="E188" s="3"/>
      <c r="F188" s="3"/>
      <c r="G188" s="3"/>
      <c r="H188" s="3"/>
      <c r="I188" s="3"/>
    </row>
    <row r="189" spans="1:9">
      <c r="A189" s="3"/>
      <c r="B189" s="3"/>
      <c r="C189" s="3"/>
      <c r="D189" s="3"/>
      <c r="E189" s="3"/>
      <c r="F189" s="3"/>
      <c r="G189" s="3"/>
      <c r="H189" s="3"/>
      <c r="I189" s="3"/>
    </row>
    <row r="190" spans="1:9">
      <c r="A190" s="3"/>
      <c r="B190" s="3"/>
      <c r="C190" s="3"/>
      <c r="D190" s="3"/>
      <c r="E190" s="3"/>
      <c r="F190" s="3"/>
      <c r="G190" s="3"/>
      <c r="H190" s="3"/>
      <c r="I190" s="3"/>
    </row>
    <row r="191" spans="1:9">
      <c r="A191" s="3"/>
      <c r="B191" s="3"/>
      <c r="C191" s="3"/>
      <c r="D191" s="3"/>
      <c r="E191" s="3"/>
      <c r="F191" s="3"/>
      <c r="G191" s="3"/>
      <c r="H191" s="3"/>
      <c r="I191" s="3"/>
    </row>
    <row r="192" spans="1:9">
      <c r="A192" s="3"/>
      <c r="B192" s="3"/>
      <c r="C192" s="3"/>
      <c r="D192" s="3"/>
      <c r="E192" s="3"/>
      <c r="F192" s="3"/>
      <c r="G192" s="3"/>
      <c r="H192" s="3"/>
      <c r="I192" s="3"/>
    </row>
    <row r="193" spans="1:9">
      <c r="A193" s="3"/>
      <c r="B193" s="3"/>
      <c r="C193" s="3"/>
      <c r="D193" s="3"/>
      <c r="E193" s="3"/>
      <c r="F193" s="3"/>
      <c r="G193" s="3"/>
      <c r="H193" s="3"/>
      <c r="I193" s="3"/>
    </row>
    <row r="194" spans="1:9">
      <c r="A194" s="3"/>
      <c r="B194" s="3"/>
      <c r="C194" s="3"/>
      <c r="D194" s="3"/>
      <c r="E194" s="3"/>
      <c r="F194" s="3"/>
      <c r="G194" s="3"/>
      <c r="H194" s="3"/>
      <c r="I194" s="3"/>
    </row>
    <row r="195" spans="1:9">
      <c r="A195" s="3"/>
      <c r="B195" s="3"/>
      <c r="C195" s="3"/>
      <c r="D195" s="3"/>
      <c r="E195" s="3"/>
      <c r="F195" s="3"/>
      <c r="G195" s="3"/>
      <c r="H195" s="3"/>
      <c r="I195" s="3"/>
    </row>
    <row r="196" spans="1:9">
      <c r="A196" s="3"/>
      <c r="B196" s="3"/>
      <c r="C196" s="3"/>
      <c r="D196" s="3"/>
      <c r="E196" s="3"/>
      <c r="F196" s="3"/>
      <c r="G196" s="3"/>
      <c r="H196" s="3"/>
      <c r="I196" s="3"/>
    </row>
    <row r="197" spans="1:9">
      <c r="A197" s="3"/>
      <c r="B197" s="3"/>
      <c r="C197" s="3"/>
      <c r="D197" s="3"/>
      <c r="E197" s="3"/>
      <c r="F197" s="3"/>
      <c r="G197" s="3"/>
      <c r="H197" s="3"/>
      <c r="I197" s="3"/>
    </row>
    <row r="198" spans="1:9">
      <c r="A198" s="3"/>
      <c r="B198" s="3"/>
      <c r="C198" s="3"/>
      <c r="D198" s="3"/>
      <c r="E198" s="3"/>
      <c r="F198" s="3"/>
      <c r="G198" s="3"/>
      <c r="H198" s="3"/>
      <c r="I198" s="3"/>
    </row>
    <row r="199" spans="1:9">
      <c r="A199" s="3"/>
      <c r="B199" s="3"/>
      <c r="C199" s="3"/>
      <c r="D199" s="3"/>
      <c r="E199" s="3"/>
      <c r="F199" s="3"/>
      <c r="G199" s="3"/>
      <c r="H199" s="3"/>
      <c r="I199" s="3"/>
    </row>
    <row r="200" spans="1:9">
      <c r="A200" s="3"/>
      <c r="B200" s="3"/>
      <c r="C200" s="3"/>
      <c r="D200" s="3"/>
      <c r="E200" s="3"/>
      <c r="F200" s="3"/>
      <c r="G200" s="3"/>
      <c r="H200" s="3"/>
      <c r="I200" s="3"/>
    </row>
    <row r="201" spans="1:9">
      <c r="A201" s="3"/>
      <c r="B201" s="3"/>
      <c r="C201" s="3"/>
      <c r="D201" s="3"/>
      <c r="E201" s="3"/>
      <c r="F201" s="3"/>
      <c r="G201" s="3"/>
      <c r="H201" s="3"/>
      <c r="I201" s="3"/>
    </row>
    <row r="202" spans="1:9">
      <c r="A202" s="3"/>
      <c r="B202" s="3"/>
      <c r="C202" s="3"/>
      <c r="D202" s="3"/>
      <c r="E202" s="3"/>
      <c r="F202" s="3"/>
      <c r="G202" s="3"/>
      <c r="H202" s="3"/>
      <c r="I202" s="3"/>
    </row>
    <row r="203" spans="1:9">
      <c r="A203" s="3"/>
      <c r="B203" s="3"/>
      <c r="C203" s="3"/>
      <c r="D203" s="3"/>
      <c r="E203" s="3"/>
      <c r="F203" s="3"/>
      <c r="G203" s="3"/>
      <c r="H203" s="3"/>
      <c r="I203" s="3"/>
    </row>
    <row r="204" spans="1:9">
      <c r="A204" s="3"/>
      <c r="B204" s="3"/>
      <c r="C204" s="3"/>
      <c r="D204" s="3"/>
      <c r="E204" s="3"/>
      <c r="F204" s="3"/>
      <c r="G204" s="3"/>
      <c r="H204" s="3"/>
      <c r="I204" s="3"/>
    </row>
    <row r="205" spans="1:9">
      <c r="A205" s="3"/>
      <c r="B205" s="3"/>
      <c r="C205" s="3"/>
      <c r="D205" s="3"/>
      <c r="E205" s="3"/>
      <c r="F205" s="3"/>
      <c r="G205" s="3"/>
      <c r="H205" s="3"/>
      <c r="I205" s="3"/>
    </row>
    <row r="206" spans="1:9">
      <c r="A206" s="3"/>
      <c r="B206" s="3"/>
      <c r="C206" s="3"/>
      <c r="D206" s="3"/>
      <c r="E206" s="3"/>
      <c r="F206" s="3"/>
      <c r="G206" s="3"/>
      <c r="H206" s="3"/>
      <c r="I206" s="3"/>
    </row>
    <row r="207" spans="1:9">
      <c r="A207" s="3"/>
      <c r="B207" s="3"/>
      <c r="C207" s="3"/>
      <c r="D207" s="3"/>
      <c r="E207" s="3"/>
      <c r="F207" s="3"/>
      <c r="G207" s="3"/>
      <c r="H207" s="3"/>
      <c r="I207" s="3"/>
    </row>
    <row r="208" spans="1:9">
      <c r="A208" s="3"/>
      <c r="B208" s="3"/>
      <c r="C208" s="3"/>
      <c r="D208" s="3"/>
      <c r="E208" s="3"/>
      <c r="F208" s="3"/>
      <c r="G208" s="3"/>
      <c r="H208" s="3"/>
      <c r="I208" s="3"/>
    </row>
    <row r="209" spans="1:9">
      <c r="A209" s="3"/>
      <c r="B209" s="3"/>
      <c r="C209" s="3"/>
      <c r="D209" s="3"/>
      <c r="E209" s="3"/>
      <c r="F209" s="3"/>
      <c r="G209" s="3"/>
      <c r="H209" s="3"/>
      <c r="I209" s="3"/>
    </row>
    <row r="210" spans="1:9">
      <c r="A210" s="3"/>
      <c r="B210" s="3"/>
      <c r="C210" s="3"/>
      <c r="D210" s="3"/>
      <c r="E210" s="3"/>
      <c r="F210" s="3"/>
      <c r="G210" s="3"/>
      <c r="H210" s="3"/>
      <c r="I210" s="3"/>
    </row>
    <row r="211" spans="1:9">
      <c r="A211" s="3"/>
      <c r="B211" s="3"/>
      <c r="C211" s="3"/>
      <c r="D211" s="3"/>
      <c r="E211" s="3"/>
      <c r="F211" s="3"/>
      <c r="G211" s="3"/>
      <c r="H211" s="3"/>
      <c r="I211" s="3"/>
    </row>
    <row r="212" spans="1:9">
      <c r="A212" s="3"/>
      <c r="B212" s="3"/>
      <c r="C212" s="3"/>
      <c r="D212" s="3"/>
      <c r="E212" s="3"/>
      <c r="F212" s="3"/>
      <c r="G212" s="3"/>
      <c r="H212" s="3"/>
      <c r="I212" s="3"/>
    </row>
    <row r="213" spans="1:9">
      <c r="A213" s="3"/>
      <c r="B213" s="3"/>
      <c r="C213" s="3"/>
      <c r="D213" s="3"/>
      <c r="E213" s="3"/>
      <c r="F213" s="3"/>
      <c r="G213" s="3"/>
      <c r="H213" s="3"/>
      <c r="I213" s="3"/>
    </row>
    <row r="214" spans="1:9">
      <c r="A214" s="3"/>
      <c r="B214" s="3"/>
      <c r="C214" s="3"/>
      <c r="D214" s="3"/>
      <c r="E214" s="3"/>
      <c r="F214" s="3"/>
      <c r="G214" s="3"/>
      <c r="H214" s="3"/>
      <c r="I214" s="3"/>
    </row>
    <row r="215" spans="1:9">
      <c r="A215" s="3"/>
      <c r="B215" s="3"/>
      <c r="C215" s="3"/>
      <c r="D215" s="3"/>
      <c r="E215" s="3"/>
      <c r="F215" s="3"/>
      <c r="G215" s="3"/>
      <c r="H215" s="3"/>
      <c r="I215" s="3"/>
    </row>
    <row r="216" spans="1:9">
      <c r="A216" s="3"/>
      <c r="B216" s="3"/>
      <c r="C216" s="3"/>
      <c r="D216" s="3"/>
      <c r="E216" s="3"/>
      <c r="F216" s="3"/>
      <c r="G216" s="3"/>
      <c r="H216" s="3"/>
      <c r="I216" s="3"/>
    </row>
    <row r="217" spans="1:9">
      <c r="A217" s="3"/>
      <c r="B217" s="3"/>
      <c r="C217" s="3"/>
      <c r="D217" s="3"/>
      <c r="E217" s="3"/>
      <c r="F217" s="3"/>
      <c r="G217" s="3"/>
      <c r="H217" s="3"/>
      <c r="I217" s="3"/>
    </row>
    <row r="218" spans="1:9">
      <c r="A218" s="3"/>
      <c r="B218" s="3"/>
      <c r="C218" s="3"/>
      <c r="D218" s="3"/>
      <c r="E218" s="3"/>
      <c r="F218" s="3"/>
      <c r="G218" s="3"/>
      <c r="H218" s="3"/>
      <c r="I218" s="3"/>
    </row>
    <row r="219" spans="1:9">
      <c r="A219" s="3"/>
      <c r="B219" s="3"/>
      <c r="C219" s="3"/>
      <c r="D219" s="3"/>
      <c r="E219" s="3"/>
      <c r="F219" s="3"/>
      <c r="G219" s="3"/>
      <c r="H219" s="3"/>
      <c r="I219" s="3"/>
    </row>
    <row r="220" spans="1:9">
      <c r="A220" s="3"/>
      <c r="B220" s="3"/>
      <c r="C220" s="3"/>
      <c r="D220" s="3"/>
      <c r="E220" s="3"/>
      <c r="F220" s="3"/>
      <c r="G220" s="3"/>
      <c r="H220" s="3"/>
      <c r="I220" s="3"/>
    </row>
    <row r="221" spans="1:9">
      <c r="A221" s="3"/>
      <c r="B221" s="3"/>
      <c r="C221" s="3"/>
      <c r="D221" s="3"/>
      <c r="E221" s="3"/>
      <c r="F221" s="3"/>
      <c r="G221" s="3"/>
      <c r="H221" s="3"/>
      <c r="I221" s="3"/>
    </row>
    <row r="222" spans="1:9">
      <c r="A222" s="3"/>
      <c r="B222" s="3"/>
      <c r="C222" s="3"/>
      <c r="D222" s="3"/>
      <c r="E222" s="3"/>
      <c r="F222" s="3"/>
      <c r="G222" s="3"/>
      <c r="H222" s="3"/>
      <c r="I222" s="3"/>
    </row>
    <row r="223" spans="1:9">
      <c r="A223" s="3"/>
      <c r="B223" s="3"/>
      <c r="C223" s="3"/>
      <c r="D223" s="3"/>
      <c r="E223" s="3"/>
      <c r="F223" s="3"/>
      <c r="G223" s="3"/>
      <c r="H223" s="3"/>
      <c r="I223" s="3"/>
    </row>
    <row r="224" spans="1:9">
      <c r="A224" s="3"/>
      <c r="B224" s="3"/>
      <c r="C224" s="3"/>
      <c r="D224" s="3"/>
      <c r="E224" s="3"/>
      <c r="F224" s="3"/>
      <c r="G224" s="3"/>
      <c r="H224" s="3"/>
      <c r="I224" s="3"/>
    </row>
    <row r="225" spans="1:9">
      <c r="A225" s="3"/>
      <c r="B225" s="3"/>
      <c r="C225" s="3"/>
      <c r="D225" s="3"/>
      <c r="E225" s="3"/>
      <c r="F225" s="3"/>
      <c r="G225" s="3"/>
      <c r="H225" s="3"/>
      <c r="I225" s="3"/>
    </row>
    <row r="226" spans="1:9">
      <c r="A226" s="3"/>
      <c r="B226" s="3"/>
      <c r="C226" s="3"/>
      <c r="D226" s="3"/>
      <c r="E226" s="3"/>
      <c r="F226" s="3"/>
      <c r="G226" s="3"/>
      <c r="H226" s="3"/>
      <c r="I226" s="3"/>
    </row>
    <row r="227" spans="1:9">
      <c r="A227" s="3"/>
      <c r="B227" s="3"/>
      <c r="C227" s="3"/>
      <c r="D227" s="3"/>
      <c r="E227" s="3"/>
      <c r="F227" s="3"/>
      <c r="G227" s="3"/>
      <c r="H227" s="3"/>
      <c r="I227" s="3"/>
    </row>
    <row r="228" spans="1:9">
      <c r="A228" s="3"/>
      <c r="B228" s="3"/>
      <c r="C228" s="3"/>
      <c r="D228" s="3"/>
      <c r="E228" s="3"/>
      <c r="F228" s="3"/>
      <c r="G228" s="3"/>
      <c r="H228" s="3"/>
      <c r="I228" s="3"/>
    </row>
    <row r="229" spans="1:9">
      <c r="A229" s="3"/>
      <c r="B229" s="3"/>
      <c r="C229" s="3"/>
      <c r="D229" s="3"/>
      <c r="E229" s="3"/>
      <c r="F229" s="3"/>
      <c r="G229" s="3"/>
      <c r="H229" s="3"/>
      <c r="I229" s="3"/>
    </row>
    <row r="230" spans="1:9">
      <c r="A230" s="3"/>
      <c r="B230" s="3"/>
      <c r="C230" s="3"/>
      <c r="D230" s="3"/>
      <c r="E230" s="3"/>
      <c r="F230" s="3"/>
      <c r="G230" s="3"/>
      <c r="H230" s="3"/>
      <c r="I230" s="3"/>
    </row>
    <row r="231" spans="1:9">
      <c r="A231" s="3"/>
      <c r="B231" s="3"/>
      <c r="C231" s="3"/>
      <c r="D231" s="3"/>
      <c r="E231" s="3"/>
      <c r="F231" s="3"/>
      <c r="G231" s="3"/>
      <c r="H231" s="3"/>
      <c r="I231" s="3"/>
    </row>
    <row r="232" spans="1:9">
      <c r="A232" s="3"/>
      <c r="B232" s="3"/>
      <c r="C232" s="3"/>
      <c r="D232" s="3"/>
      <c r="E232" s="3"/>
      <c r="F232" s="3"/>
      <c r="G232" s="3"/>
      <c r="H232" s="3"/>
      <c r="I232" s="3"/>
    </row>
    <row r="233" spans="1:9">
      <c r="A233" s="3"/>
      <c r="B233" s="3"/>
      <c r="C233" s="3"/>
      <c r="D233" s="3"/>
      <c r="E233" s="3"/>
      <c r="F233" s="3"/>
      <c r="G233" s="3"/>
      <c r="H233" s="3"/>
      <c r="I233" s="3"/>
    </row>
    <row r="234" spans="1:9">
      <c r="A234" s="3"/>
      <c r="B234" s="3"/>
      <c r="C234" s="3"/>
      <c r="D234" s="3"/>
      <c r="E234" s="3"/>
      <c r="F234" s="3"/>
      <c r="G234" s="3"/>
      <c r="H234" s="3"/>
      <c r="I234" s="3"/>
    </row>
    <row r="235" spans="1:9">
      <c r="A235" s="3"/>
      <c r="B235" s="3"/>
      <c r="C235" s="3"/>
      <c r="D235" s="3"/>
      <c r="E235" s="3"/>
      <c r="F235" s="3"/>
      <c r="G235" s="3"/>
      <c r="H235" s="3"/>
      <c r="I235" s="3"/>
    </row>
    <row r="236" spans="1:9">
      <c r="A236" s="3"/>
      <c r="B236" s="3"/>
      <c r="C236" s="3"/>
      <c r="D236" s="3"/>
      <c r="E236" s="3"/>
      <c r="F236" s="3"/>
      <c r="G236" s="3"/>
      <c r="H236" s="3"/>
      <c r="I236" s="3"/>
    </row>
    <row r="237" spans="1:9">
      <c r="A237" s="3"/>
      <c r="B237" s="3"/>
      <c r="C237" s="3"/>
      <c r="D237" s="3"/>
      <c r="E237" s="3"/>
      <c r="F237" s="3"/>
      <c r="G237" s="3"/>
      <c r="H237" s="3"/>
      <c r="I237" s="3"/>
    </row>
    <row r="238" spans="1:9">
      <c r="A238" s="3"/>
      <c r="B238" s="3"/>
      <c r="C238" s="3"/>
      <c r="D238" s="3"/>
      <c r="E238" s="3"/>
      <c r="F238" s="3"/>
      <c r="G238" s="3"/>
      <c r="H238" s="3"/>
      <c r="I238" s="3"/>
    </row>
    <row r="239" spans="1:9">
      <c r="A239" s="3"/>
      <c r="B239" s="3"/>
      <c r="C239" s="3"/>
      <c r="D239" s="3"/>
      <c r="E239" s="3"/>
      <c r="F239" s="3"/>
      <c r="G239" s="3"/>
      <c r="H239" s="3"/>
      <c r="I239" s="3"/>
    </row>
    <row r="240" spans="1:9">
      <c r="A240" s="3"/>
      <c r="B240" s="3"/>
      <c r="C240" s="3"/>
      <c r="D240" s="3"/>
      <c r="E240" s="3"/>
      <c r="F240" s="3"/>
      <c r="G240" s="3"/>
      <c r="H240" s="3"/>
      <c r="I240" s="3"/>
    </row>
    <row r="241" spans="1:9">
      <c r="A241" s="3"/>
      <c r="B241" s="3"/>
      <c r="C241" s="3"/>
      <c r="D241" s="3"/>
      <c r="E241" s="3"/>
      <c r="F241" s="3"/>
      <c r="G241" s="3"/>
      <c r="H241" s="3"/>
      <c r="I241" s="3"/>
    </row>
    <row r="242" spans="1:9">
      <c r="A242" s="3"/>
      <c r="B242" s="3"/>
      <c r="C242" s="3"/>
      <c r="D242" s="3"/>
      <c r="E242" s="3"/>
      <c r="F242" s="3"/>
      <c r="G242" s="3"/>
      <c r="H242" s="3"/>
      <c r="I242" s="3"/>
    </row>
    <row r="243" spans="1:9">
      <c r="A243" s="3"/>
      <c r="B243" s="3"/>
      <c r="C243" s="3"/>
      <c r="D243" s="3"/>
      <c r="E243" s="3"/>
      <c r="F243" s="3"/>
      <c r="G243" s="3"/>
      <c r="H243" s="3"/>
      <c r="I243" s="3"/>
    </row>
    <row r="244" spans="1:9">
      <c r="A244" s="3"/>
      <c r="B244" s="3"/>
      <c r="C244" s="3"/>
      <c r="D244" s="3"/>
      <c r="E244" s="3"/>
      <c r="F244" s="3"/>
      <c r="G244" s="3"/>
      <c r="H244" s="3"/>
      <c r="I244" s="3"/>
    </row>
    <row r="245" spans="1:9">
      <c r="A245" s="3"/>
      <c r="B245" s="3"/>
      <c r="C245" s="3"/>
      <c r="D245" s="3"/>
      <c r="E245" s="3"/>
      <c r="F245" s="3"/>
      <c r="G245" s="3"/>
      <c r="H245" s="3"/>
      <c r="I245" s="3"/>
    </row>
    <row r="246" spans="1:9">
      <c r="A246" s="3"/>
      <c r="B246" s="3"/>
      <c r="C246" s="3"/>
      <c r="D246" s="3"/>
      <c r="E246" s="3"/>
      <c r="F246" s="3"/>
      <c r="G246" s="3"/>
      <c r="H246" s="3"/>
      <c r="I246" s="3"/>
    </row>
    <row r="247" spans="1:9">
      <c r="A247" s="3"/>
      <c r="B247" s="3"/>
      <c r="C247" s="3"/>
      <c r="D247" s="3"/>
      <c r="E247" s="3"/>
      <c r="F247" s="3"/>
      <c r="G247" s="3"/>
      <c r="H247" s="3"/>
      <c r="I247" s="3"/>
    </row>
    <row r="248" spans="1:9">
      <c r="A248" s="3"/>
      <c r="B248" s="3"/>
      <c r="C248" s="3"/>
      <c r="D248" s="3"/>
      <c r="E248" s="3"/>
      <c r="F248" s="3"/>
      <c r="G248" s="3"/>
      <c r="H248" s="3"/>
      <c r="I248" s="3"/>
    </row>
    <row r="249" spans="1:9">
      <c r="A249" s="3"/>
      <c r="B249" s="3"/>
      <c r="C249" s="3"/>
      <c r="D249" s="3"/>
      <c r="E249" s="3"/>
      <c r="F249" s="3"/>
      <c r="G249" s="3"/>
      <c r="H249" s="3"/>
      <c r="I249" s="3"/>
    </row>
    <row r="250" spans="1:9">
      <c r="A250" s="3"/>
      <c r="B250" s="3"/>
      <c r="C250" s="3"/>
      <c r="D250" s="3"/>
      <c r="E250" s="3"/>
      <c r="F250" s="3"/>
      <c r="G250" s="3"/>
      <c r="H250" s="3"/>
      <c r="I250" s="3"/>
    </row>
    <row r="251" spans="1:9">
      <c r="A251" s="3"/>
      <c r="B251" s="3"/>
      <c r="C251" s="3"/>
      <c r="D251" s="3"/>
      <c r="E251" s="3"/>
      <c r="F251" s="3"/>
      <c r="G251" s="3"/>
      <c r="H251" s="3"/>
      <c r="I251" s="3"/>
    </row>
    <row r="252" spans="1:9">
      <c r="A252" s="3"/>
      <c r="B252" s="3"/>
      <c r="C252" s="3"/>
      <c r="D252" s="3"/>
      <c r="E252" s="3"/>
      <c r="F252" s="3"/>
      <c r="G252" s="3"/>
      <c r="H252" s="3"/>
      <c r="I252" s="3"/>
    </row>
    <row r="253" spans="1:9">
      <c r="A253" s="3"/>
      <c r="B253" s="3"/>
      <c r="C253" s="3"/>
      <c r="D253" s="3"/>
      <c r="E253" s="3"/>
      <c r="F253" s="3"/>
      <c r="G253" s="3"/>
      <c r="H253" s="3"/>
      <c r="I253" s="3"/>
    </row>
    <row r="254" spans="1:9">
      <c r="A254" s="3"/>
      <c r="B254" s="3"/>
      <c r="C254" s="3"/>
      <c r="D254" s="3"/>
      <c r="E254" s="3"/>
      <c r="F254" s="3"/>
      <c r="G254" s="3"/>
      <c r="H254" s="3"/>
      <c r="I254" s="3"/>
    </row>
    <row r="255" spans="1:9">
      <c r="A255" s="3"/>
      <c r="B255" s="3"/>
      <c r="C255" s="3"/>
      <c r="D255" s="3"/>
      <c r="E255" s="3"/>
      <c r="F255" s="3"/>
      <c r="G255" s="3"/>
      <c r="H255" s="3"/>
      <c r="I255" s="3"/>
    </row>
    <row r="256" spans="1:9">
      <c r="A256" s="3"/>
      <c r="B256" s="3"/>
      <c r="C256" s="3"/>
      <c r="D256" s="3"/>
      <c r="E256" s="3"/>
      <c r="F256" s="3"/>
      <c r="G256" s="3"/>
      <c r="H256" s="3"/>
      <c r="I256" s="3"/>
    </row>
    <row r="257" spans="1:9">
      <c r="A257" s="3"/>
      <c r="B257" s="3"/>
      <c r="C257" s="3"/>
      <c r="D257" s="3"/>
      <c r="E257" s="3"/>
      <c r="F257" s="3"/>
      <c r="G257" s="3"/>
      <c r="H257" s="3"/>
      <c r="I257" s="3"/>
    </row>
    <row r="258" spans="1:9">
      <c r="A258" s="3"/>
      <c r="B258" s="3"/>
      <c r="C258" s="3"/>
      <c r="D258" s="3"/>
      <c r="E258" s="3"/>
      <c r="F258" s="3"/>
      <c r="G258" s="3"/>
      <c r="H258" s="3"/>
      <c r="I258" s="3"/>
    </row>
    <row r="259" spans="1:9">
      <c r="A259" s="3"/>
      <c r="B259" s="3"/>
      <c r="C259" s="3"/>
      <c r="D259" s="3"/>
      <c r="E259" s="3"/>
      <c r="F259" s="3"/>
      <c r="G259" s="3"/>
      <c r="H259" s="3"/>
      <c r="I259" s="3"/>
    </row>
    <row r="260" spans="1:9">
      <c r="A260" s="3"/>
      <c r="B260" s="3"/>
      <c r="C260" s="3"/>
      <c r="D260" s="3"/>
      <c r="E260" s="3"/>
      <c r="F260" s="3"/>
      <c r="G260" s="3"/>
      <c r="H260" s="3"/>
      <c r="I260" s="3"/>
    </row>
    <row r="261" spans="1:9">
      <c r="A261" s="3"/>
      <c r="B261" s="3"/>
      <c r="C261" s="3"/>
      <c r="D261" s="3"/>
      <c r="E261" s="3"/>
      <c r="F261" s="3"/>
      <c r="G261" s="3"/>
      <c r="H261" s="3"/>
      <c r="I261" s="3"/>
    </row>
    <row r="262" spans="1:9">
      <c r="A262" s="3"/>
      <c r="B262" s="3"/>
      <c r="C262" s="3"/>
      <c r="D262" s="3"/>
      <c r="E262" s="3"/>
      <c r="F262" s="3"/>
      <c r="G262" s="3"/>
      <c r="H262" s="3"/>
      <c r="I262" s="3"/>
    </row>
    <row r="263" spans="1:9">
      <c r="A263" s="3"/>
      <c r="B263" s="3"/>
      <c r="C263" s="3"/>
      <c r="D263" s="3"/>
      <c r="E263" s="3"/>
      <c r="F263" s="3"/>
      <c r="G263" s="3"/>
      <c r="H263" s="3"/>
      <c r="I263" s="3"/>
    </row>
    <row r="264" spans="1:9">
      <c r="A264" s="3"/>
      <c r="B264" s="3"/>
      <c r="C264" s="3"/>
      <c r="D264" s="3"/>
      <c r="E264" s="3"/>
      <c r="F264" s="3"/>
      <c r="G264" s="3"/>
      <c r="H264" s="3"/>
      <c r="I264" s="3"/>
    </row>
    <row r="265" spans="1:9">
      <c r="A265" s="3"/>
      <c r="B265" s="3"/>
      <c r="C265" s="3"/>
      <c r="D265" s="3"/>
      <c r="E265" s="3"/>
      <c r="F265" s="3"/>
      <c r="G265" s="3"/>
      <c r="H265" s="3"/>
      <c r="I265" s="3"/>
    </row>
    <row r="266" spans="1:9">
      <c r="A266" s="3"/>
      <c r="B266" s="3"/>
      <c r="C266" s="3"/>
      <c r="D266" s="3"/>
      <c r="E266" s="3"/>
      <c r="F266" s="3"/>
      <c r="G266" s="3"/>
      <c r="H266" s="3"/>
      <c r="I266" s="3"/>
    </row>
    <row r="267" spans="1:9">
      <c r="A267" s="3"/>
      <c r="B267" s="3"/>
      <c r="C267" s="3"/>
      <c r="D267" s="3"/>
      <c r="E267" s="3"/>
      <c r="F267" s="3"/>
      <c r="G267" s="3"/>
      <c r="H267" s="3"/>
      <c r="I267" s="3"/>
    </row>
    <row r="268" spans="1:9">
      <c r="A268" s="3"/>
      <c r="B268" s="3"/>
      <c r="C268" s="3"/>
      <c r="D268" s="3"/>
      <c r="E268" s="3"/>
      <c r="F268" s="3"/>
      <c r="G268" s="3"/>
      <c r="H268" s="3"/>
      <c r="I268" s="3"/>
    </row>
    <row r="269" spans="1:9">
      <c r="A269" s="3"/>
      <c r="B269" s="3"/>
      <c r="C269" s="3"/>
      <c r="D269" s="3"/>
      <c r="E269" s="3"/>
      <c r="F269" s="3"/>
      <c r="G269" s="3"/>
      <c r="H269" s="3"/>
      <c r="I269" s="3"/>
    </row>
    <row r="270" spans="1:9">
      <c r="A270" s="3"/>
      <c r="B270" s="3"/>
      <c r="C270" s="3"/>
      <c r="D270" s="3"/>
      <c r="E270" s="3"/>
      <c r="F270" s="3"/>
      <c r="G270" s="3"/>
      <c r="H270" s="3"/>
      <c r="I270" s="3"/>
    </row>
    <row r="271" spans="1:9">
      <c r="A271" s="3"/>
      <c r="B271" s="3"/>
      <c r="C271" s="3"/>
      <c r="D271" s="3"/>
      <c r="E271" s="3"/>
      <c r="F271" s="3"/>
      <c r="G271" s="3"/>
      <c r="H271" s="3"/>
      <c r="I271" s="3"/>
    </row>
    <row r="272" spans="1:9">
      <c r="A272" s="3"/>
      <c r="B272" s="3"/>
      <c r="C272" s="3"/>
      <c r="D272" s="3"/>
      <c r="E272" s="3"/>
      <c r="F272" s="3"/>
      <c r="G272" s="3"/>
      <c r="H272" s="3"/>
      <c r="I272" s="3"/>
    </row>
    <row r="273" spans="1:9">
      <c r="A273" s="3"/>
      <c r="B273" s="3"/>
      <c r="C273" s="3"/>
      <c r="D273" s="3"/>
      <c r="E273" s="3"/>
      <c r="F273" s="3"/>
      <c r="G273" s="3"/>
      <c r="H273" s="3"/>
      <c r="I273" s="3"/>
    </row>
    <row r="274" spans="1:9">
      <c r="A274" s="3"/>
      <c r="B274" s="3"/>
      <c r="C274" s="3"/>
      <c r="D274" s="3"/>
      <c r="E274" s="3"/>
      <c r="F274" s="3"/>
      <c r="G274" s="3"/>
      <c r="H274" s="3"/>
      <c r="I274" s="3"/>
    </row>
    <row r="275" spans="1:9">
      <c r="A275" s="3"/>
      <c r="B275" s="3"/>
      <c r="C275" s="3"/>
      <c r="D275" s="3"/>
      <c r="E275" s="3"/>
      <c r="F275" s="3"/>
      <c r="G275" s="3"/>
      <c r="H275" s="3"/>
      <c r="I275" s="3"/>
    </row>
    <row r="276" spans="1:9">
      <c r="A276" s="3"/>
      <c r="B276" s="3"/>
      <c r="C276" s="3"/>
      <c r="D276" s="3"/>
      <c r="E276" s="3"/>
      <c r="F276" s="3"/>
      <c r="G276" s="3"/>
      <c r="H276" s="3"/>
      <c r="I276" s="3"/>
    </row>
    <row r="277" spans="1:9">
      <c r="A277" s="3"/>
      <c r="B277" s="3"/>
      <c r="C277" s="3"/>
      <c r="D277" s="3"/>
      <c r="E277" s="3"/>
      <c r="F277" s="3"/>
      <c r="G277" s="3"/>
      <c r="H277" s="3"/>
      <c r="I277" s="3"/>
    </row>
    <row r="278" spans="1:9">
      <c r="A278" s="3"/>
      <c r="B278" s="3"/>
      <c r="C278" s="3"/>
      <c r="D278" s="3"/>
      <c r="E278" s="3"/>
      <c r="F278" s="3"/>
      <c r="G278" s="3"/>
      <c r="H278" s="3"/>
      <c r="I278" s="3"/>
    </row>
    <row r="279" spans="1:9">
      <c r="A279" s="3"/>
      <c r="B279" s="3"/>
      <c r="C279" s="3"/>
      <c r="D279" s="3"/>
      <c r="E279" s="3"/>
      <c r="F279" s="3"/>
      <c r="G279" s="3"/>
      <c r="H279" s="3"/>
      <c r="I279" s="3"/>
    </row>
    <row r="280" spans="1:9">
      <c r="A280" s="3"/>
      <c r="B280" s="3"/>
      <c r="C280" s="3"/>
      <c r="D280" s="3"/>
      <c r="E280" s="3"/>
      <c r="F280" s="3"/>
      <c r="G280" s="3"/>
      <c r="H280" s="3"/>
      <c r="I280" s="3"/>
    </row>
    <row r="281" spans="1:9">
      <c r="A281" s="3"/>
      <c r="B281" s="3"/>
      <c r="C281" s="3"/>
      <c r="D281" s="3"/>
      <c r="E281" s="3"/>
      <c r="F281" s="3"/>
      <c r="G281" s="3"/>
      <c r="H281" s="3"/>
      <c r="I281" s="3"/>
    </row>
    <row r="282" spans="1:9">
      <c r="A282" s="3"/>
      <c r="B282" s="3"/>
      <c r="C282" s="3"/>
      <c r="D282" s="3"/>
      <c r="E282" s="3"/>
      <c r="F282" s="3"/>
      <c r="G282" s="3"/>
      <c r="H282" s="3"/>
      <c r="I282" s="3"/>
    </row>
    <row r="283" spans="1:9">
      <c r="A283" s="3"/>
      <c r="B283" s="3"/>
      <c r="C283" s="3"/>
      <c r="D283" s="3"/>
      <c r="E283" s="3"/>
      <c r="F283" s="3"/>
      <c r="G283" s="3"/>
      <c r="H283" s="3"/>
      <c r="I283" s="3"/>
    </row>
    <row r="284" spans="1:9">
      <c r="A284" s="3"/>
      <c r="B284" s="3"/>
      <c r="C284" s="3"/>
      <c r="D284" s="3"/>
      <c r="E284" s="3"/>
      <c r="F284" s="3"/>
      <c r="G284" s="3"/>
      <c r="H284" s="3"/>
      <c r="I284" s="3"/>
    </row>
    <row r="285" spans="1:9">
      <c r="A285" s="3"/>
      <c r="B285" s="3"/>
      <c r="C285" s="3"/>
      <c r="D285" s="3"/>
      <c r="E285" s="3"/>
      <c r="F285" s="3"/>
      <c r="G285" s="3"/>
      <c r="H285" s="3"/>
      <c r="I285" s="3"/>
    </row>
    <row r="286" spans="1:9">
      <c r="A286" s="3"/>
      <c r="B286" s="3"/>
      <c r="C286" s="3"/>
      <c r="D286" s="3"/>
      <c r="E286" s="3"/>
      <c r="F286" s="3"/>
      <c r="G286" s="3"/>
      <c r="H286" s="3"/>
      <c r="I286" s="3"/>
    </row>
    <row r="287" spans="1:9">
      <c r="A287" s="3"/>
      <c r="B287" s="3"/>
      <c r="C287" s="3"/>
      <c r="D287" s="3"/>
      <c r="E287" s="3"/>
      <c r="F287" s="3"/>
      <c r="G287" s="3"/>
      <c r="H287" s="3"/>
      <c r="I287" s="3"/>
    </row>
    <row r="288" spans="1:9">
      <c r="A288" s="3"/>
      <c r="B288" s="3"/>
      <c r="C288" s="3"/>
      <c r="D288" s="3"/>
      <c r="E288" s="3"/>
      <c r="F288" s="3"/>
      <c r="G288" s="3"/>
      <c r="H288" s="3"/>
      <c r="I288" s="3"/>
    </row>
    <row r="289" spans="1:9">
      <c r="A289" s="3"/>
      <c r="B289" s="3"/>
      <c r="C289" s="3"/>
      <c r="D289" s="3"/>
      <c r="E289" s="3"/>
      <c r="F289" s="3"/>
      <c r="G289" s="3"/>
      <c r="H289" s="3"/>
      <c r="I289" s="3"/>
    </row>
    <row r="290" spans="1:9">
      <c r="A290" s="3"/>
      <c r="B290" s="3"/>
      <c r="C290" s="3"/>
      <c r="D290" s="3"/>
      <c r="E290" s="3"/>
      <c r="F290" s="3"/>
      <c r="G290" s="3"/>
      <c r="H290" s="3"/>
      <c r="I290" s="3"/>
    </row>
    <row r="291" spans="1:9">
      <c r="A291" s="3"/>
      <c r="B291" s="3"/>
      <c r="C291" s="3"/>
      <c r="D291" s="3"/>
      <c r="E291" s="3"/>
      <c r="F291" s="3"/>
      <c r="G291" s="3"/>
      <c r="H291" s="3"/>
      <c r="I291" s="3"/>
    </row>
    <row r="292" spans="1:9">
      <c r="A292" s="3"/>
      <c r="B292" s="3"/>
      <c r="C292" s="3"/>
      <c r="D292" s="3"/>
      <c r="E292" s="3"/>
      <c r="F292" s="3"/>
      <c r="G292" s="3"/>
      <c r="H292" s="3"/>
      <c r="I292" s="3"/>
    </row>
    <row r="293" spans="1:9">
      <c r="A293" s="3"/>
      <c r="B293" s="3"/>
      <c r="C293" s="3"/>
      <c r="D293" s="3"/>
      <c r="E293" s="3"/>
      <c r="F293" s="3"/>
      <c r="G293" s="3"/>
      <c r="H293" s="3"/>
      <c r="I293" s="3"/>
    </row>
    <row r="294" spans="1:9">
      <c r="A294" s="3"/>
      <c r="B294" s="3"/>
      <c r="C294" s="3"/>
      <c r="D294" s="3"/>
      <c r="E294" s="3"/>
      <c r="F294" s="3"/>
      <c r="G294" s="3"/>
      <c r="H294" s="3"/>
      <c r="I294" s="3"/>
    </row>
    <row r="295" spans="1:9">
      <c r="A295" s="3"/>
      <c r="B295" s="3"/>
      <c r="C295" s="3"/>
      <c r="D295" s="3"/>
      <c r="E295" s="3"/>
      <c r="F295" s="3"/>
      <c r="G295" s="3"/>
      <c r="H295" s="3"/>
      <c r="I295" s="3"/>
    </row>
    <row r="296" spans="1:9">
      <c r="A296" s="3"/>
      <c r="B296" s="3"/>
      <c r="C296" s="3"/>
      <c r="D296" s="3"/>
      <c r="E296" s="3"/>
      <c r="F296" s="3"/>
      <c r="G296" s="3"/>
      <c r="H296" s="3"/>
      <c r="I296" s="3"/>
    </row>
    <row r="297" spans="1:9">
      <c r="A297" s="3"/>
      <c r="B297" s="3"/>
      <c r="C297" s="3"/>
      <c r="D297" s="3"/>
      <c r="E297" s="3"/>
      <c r="F297" s="3"/>
      <c r="G297" s="3"/>
      <c r="H297" s="3"/>
      <c r="I297" s="3"/>
    </row>
    <row r="298" spans="1:9">
      <c r="A298" s="3"/>
      <c r="B298" s="3"/>
      <c r="C298" s="3"/>
      <c r="D298" s="3"/>
      <c r="E298" s="3"/>
      <c r="F298" s="3"/>
      <c r="G298" s="3"/>
      <c r="H298" s="3"/>
      <c r="I298" s="3"/>
    </row>
    <row r="299" spans="1:9">
      <c r="A299" s="3"/>
      <c r="B299" s="3"/>
      <c r="C299" s="3"/>
      <c r="D299" s="3"/>
      <c r="E299" s="3"/>
      <c r="F299" s="3"/>
      <c r="G299" s="3"/>
      <c r="H299" s="3"/>
      <c r="I299" s="3"/>
    </row>
    <row r="300" spans="1:9">
      <c r="A300" s="3"/>
      <c r="B300" s="3"/>
      <c r="C300" s="3"/>
      <c r="D300" s="3"/>
      <c r="E300" s="3"/>
      <c r="F300" s="3"/>
      <c r="G300" s="3"/>
      <c r="H300" s="3"/>
      <c r="I300" s="3"/>
    </row>
    <row r="301" spans="1:9">
      <c r="A301" s="3"/>
      <c r="B301" s="3"/>
      <c r="C301" s="3"/>
      <c r="D301" s="3"/>
      <c r="E301" s="3"/>
      <c r="F301" s="3"/>
      <c r="G301" s="3"/>
      <c r="H301" s="3"/>
      <c r="I301" s="3"/>
    </row>
    <row r="302" spans="1:9">
      <c r="A302" s="3"/>
      <c r="B302" s="3"/>
      <c r="C302" s="3"/>
      <c r="D302" s="3"/>
      <c r="E302" s="3"/>
      <c r="F302" s="3"/>
      <c r="G302" s="3"/>
      <c r="H302" s="3"/>
      <c r="I302" s="3"/>
    </row>
    <row r="303" spans="1:9">
      <c r="A303" s="3"/>
      <c r="B303" s="3"/>
      <c r="C303" s="3"/>
      <c r="D303" s="3"/>
      <c r="E303" s="3"/>
      <c r="F303" s="3"/>
      <c r="G303" s="3"/>
      <c r="H303" s="3"/>
      <c r="I303" s="3"/>
    </row>
    <row r="304" spans="1:9">
      <c r="A304" s="3"/>
      <c r="B304" s="3"/>
      <c r="C304" s="3"/>
      <c r="D304" s="3"/>
      <c r="E304" s="3"/>
      <c r="F304" s="3"/>
      <c r="G304" s="3"/>
      <c r="H304" s="3"/>
      <c r="I304" s="3"/>
    </row>
  </sheetData>
  <mergeCells count="1">
    <mergeCell ref="A2:I3"/>
  </mergeCells>
  <conditionalFormatting sqref="G5:G304">
    <cfRule type="containsText" dxfId="0" priority="1" operator="containsText" text="是">
      <formula>NOT(ISERROR(SEARCH("是",G5)))</formula>
    </cfRule>
    <cfRule type="containsText" dxfId="1" priority="2" operator="containsText" text="否">
      <formula>NOT(ISERROR(SEARCH("否",G5)))</formula>
    </cfRule>
  </conditionalFormatting>
  <dataValidations count="4">
    <dataValidation type="list" allowBlank="1" showInputMessage="1" showErrorMessage="1" sqref="C5:C304">
      <formula1>"R0,R1,R2,R3,R4,R5"</formula1>
    </dataValidation>
    <dataValidation type="whole" allowBlank="1" showInputMessage="1" showErrorMessage="1" sqref="F5:F304">
      <formula1>1</formula1>
      <formula2>5</formula2>
    </dataValidation>
    <dataValidation type="list" allowBlank="1" showInputMessage="1" showErrorMessage="1" sqref="G5:G304">
      <formula1>"是,否,不适用"</formula1>
    </dataValidation>
    <dataValidation type="list" allowBlank="1" showInputMessage="1" showErrorMessage="1" sqref="H5:H304">
      <formula1>"是,否"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3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4" width="30.7109375" customWidth="1"/>
    <col min="5" max="5" width="12.7109375" customWidth="1"/>
    <col min="6" max="6" width="18.7109375" customWidth="1"/>
    <col min="7" max="7" width="30.7109375" customWidth="1"/>
  </cols>
  <sheetData>
    <row r="1" spans="1:7">
      <c r="A1" s="1" t="s">
        <v>27</v>
      </c>
    </row>
    <row r="2" spans="1:7">
      <c r="A2" s="2" t="s">
        <v>28</v>
      </c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t="s">
        <v>2</v>
      </c>
      <c r="B4" t="s">
        <v>3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  <row r="101" spans="1:7">
      <c r="A101" s="3"/>
      <c r="B101" s="3"/>
      <c r="C101" s="3"/>
      <c r="D101" s="3"/>
      <c r="E101" s="3"/>
      <c r="F101" s="3"/>
      <c r="G101" s="3"/>
    </row>
    <row r="102" spans="1:7">
      <c r="A102" s="3"/>
      <c r="B102" s="3"/>
      <c r="C102" s="3"/>
      <c r="D102" s="3"/>
      <c r="E102" s="3"/>
      <c r="F102" s="3"/>
      <c r="G102" s="3"/>
    </row>
    <row r="103" spans="1:7">
      <c r="A103" s="3"/>
      <c r="B103" s="3"/>
      <c r="C103" s="3"/>
      <c r="D103" s="3"/>
      <c r="E103" s="3"/>
      <c r="F103" s="3"/>
      <c r="G103" s="3"/>
    </row>
    <row r="104" spans="1:7">
      <c r="A104" s="3"/>
      <c r="B104" s="3"/>
      <c r="C104" s="3"/>
      <c r="D104" s="3"/>
      <c r="E104" s="3"/>
      <c r="F104" s="3"/>
      <c r="G104" s="3"/>
    </row>
    <row r="105" spans="1:7">
      <c r="A105" s="3"/>
      <c r="B105" s="3"/>
      <c r="C105" s="3"/>
      <c r="D105" s="3"/>
      <c r="E105" s="3"/>
      <c r="F105" s="3"/>
      <c r="G105" s="3"/>
    </row>
    <row r="106" spans="1:7">
      <c r="A106" s="3"/>
      <c r="B106" s="3"/>
      <c r="C106" s="3"/>
      <c r="D106" s="3"/>
      <c r="E106" s="3"/>
      <c r="F106" s="3"/>
      <c r="G106" s="3"/>
    </row>
    <row r="107" spans="1:7">
      <c r="A107" s="3"/>
      <c r="B107" s="3"/>
      <c r="C107" s="3"/>
      <c r="D107" s="3"/>
      <c r="E107" s="3"/>
      <c r="F107" s="3"/>
      <c r="G107" s="3"/>
    </row>
    <row r="108" spans="1:7">
      <c r="A108" s="3"/>
      <c r="B108" s="3"/>
      <c r="C108" s="3"/>
      <c r="D108" s="3"/>
      <c r="E108" s="3"/>
      <c r="F108" s="3"/>
      <c r="G108" s="3"/>
    </row>
    <row r="109" spans="1:7">
      <c r="A109" s="3"/>
      <c r="B109" s="3"/>
      <c r="C109" s="3"/>
      <c r="D109" s="3"/>
      <c r="E109" s="3"/>
      <c r="F109" s="3"/>
      <c r="G109" s="3"/>
    </row>
    <row r="110" spans="1:7">
      <c r="A110" s="3"/>
      <c r="B110" s="3"/>
      <c r="C110" s="3"/>
      <c r="D110" s="3"/>
      <c r="E110" s="3"/>
      <c r="F110" s="3"/>
      <c r="G110" s="3"/>
    </row>
    <row r="111" spans="1:7">
      <c r="A111" s="3"/>
      <c r="B111" s="3"/>
      <c r="C111" s="3"/>
      <c r="D111" s="3"/>
      <c r="E111" s="3"/>
      <c r="F111" s="3"/>
      <c r="G111" s="3"/>
    </row>
    <row r="112" spans="1:7">
      <c r="A112" s="3"/>
      <c r="B112" s="3"/>
      <c r="C112" s="3"/>
      <c r="D112" s="3"/>
      <c r="E112" s="3"/>
      <c r="F112" s="3"/>
      <c r="G112" s="3"/>
    </row>
    <row r="113" spans="1:7">
      <c r="A113" s="3"/>
      <c r="B113" s="3"/>
      <c r="C113" s="3"/>
      <c r="D113" s="3"/>
      <c r="E113" s="3"/>
      <c r="F113" s="3"/>
      <c r="G113" s="3"/>
    </row>
    <row r="114" spans="1:7">
      <c r="A114" s="3"/>
      <c r="B114" s="3"/>
      <c r="C114" s="3"/>
      <c r="D114" s="3"/>
      <c r="E114" s="3"/>
      <c r="F114" s="3"/>
      <c r="G114" s="3"/>
    </row>
    <row r="115" spans="1:7">
      <c r="A115" s="3"/>
      <c r="B115" s="3"/>
      <c r="C115" s="3"/>
      <c r="D115" s="3"/>
      <c r="E115" s="3"/>
      <c r="F115" s="3"/>
      <c r="G115" s="3"/>
    </row>
    <row r="116" spans="1:7">
      <c r="A116" s="3"/>
      <c r="B116" s="3"/>
      <c r="C116" s="3"/>
      <c r="D116" s="3"/>
      <c r="E116" s="3"/>
      <c r="F116" s="3"/>
      <c r="G116" s="3"/>
    </row>
    <row r="117" spans="1:7">
      <c r="A117" s="3"/>
      <c r="B117" s="3"/>
      <c r="C117" s="3"/>
      <c r="D117" s="3"/>
      <c r="E117" s="3"/>
      <c r="F117" s="3"/>
      <c r="G117" s="3"/>
    </row>
    <row r="118" spans="1:7">
      <c r="A118" s="3"/>
      <c r="B118" s="3"/>
      <c r="C118" s="3"/>
      <c r="D118" s="3"/>
      <c r="E118" s="3"/>
      <c r="F118" s="3"/>
      <c r="G118" s="3"/>
    </row>
    <row r="119" spans="1:7">
      <c r="A119" s="3"/>
      <c r="B119" s="3"/>
      <c r="C119" s="3"/>
      <c r="D119" s="3"/>
      <c r="E119" s="3"/>
      <c r="F119" s="3"/>
      <c r="G119" s="3"/>
    </row>
    <row r="120" spans="1:7">
      <c r="A120" s="3"/>
      <c r="B120" s="3"/>
      <c r="C120" s="3"/>
      <c r="D120" s="3"/>
      <c r="E120" s="3"/>
      <c r="F120" s="3"/>
      <c r="G120" s="3"/>
    </row>
    <row r="121" spans="1:7">
      <c r="A121" s="3"/>
      <c r="B121" s="3"/>
      <c r="C121" s="3"/>
      <c r="D121" s="3"/>
      <c r="E121" s="3"/>
      <c r="F121" s="3"/>
      <c r="G121" s="3"/>
    </row>
    <row r="122" spans="1:7">
      <c r="A122" s="3"/>
      <c r="B122" s="3"/>
      <c r="C122" s="3"/>
      <c r="D122" s="3"/>
      <c r="E122" s="3"/>
      <c r="F122" s="3"/>
      <c r="G122" s="3"/>
    </row>
    <row r="123" spans="1:7">
      <c r="A123" s="3"/>
      <c r="B123" s="3"/>
      <c r="C123" s="3"/>
      <c r="D123" s="3"/>
      <c r="E123" s="3"/>
      <c r="F123" s="3"/>
      <c r="G123" s="3"/>
    </row>
    <row r="124" spans="1:7">
      <c r="A124" s="3"/>
      <c r="B124" s="3"/>
      <c r="C124" s="3"/>
      <c r="D124" s="3"/>
      <c r="E124" s="3"/>
      <c r="F124" s="3"/>
      <c r="G124" s="3"/>
    </row>
    <row r="125" spans="1:7">
      <c r="A125" s="3"/>
      <c r="B125" s="3"/>
      <c r="C125" s="3"/>
      <c r="D125" s="3"/>
      <c r="E125" s="3"/>
      <c r="F125" s="3"/>
      <c r="G125" s="3"/>
    </row>
    <row r="126" spans="1:7">
      <c r="A126" s="3"/>
      <c r="B126" s="3"/>
      <c r="C126" s="3"/>
      <c r="D126" s="3"/>
      <c r="E126" s="3"/>
      <c r="F126" s="3"/>
      <c r="G126" s="3"/>
    </row>
    <row r="127" spans="1:7">
      <c r="A127" s="3"/>
      <c r="B127" s="3"/>
      <c r="C127" s="3"/>
      <c r="D127" s="3"/>
      <c r="E127" s="3"/>
      <c r="F127" s="3"/>
      <c r="G127" s="3"/>
    </row>
    <row r="128" spans="1:7">
      <c r="A128" s="3"/>
      <c r="B128" s="3"/>
      <c r="C128" s="3"/>
      <c r="D128" s="3"/>
      <c r="E128" s="3"/>
      <c r="F128" s="3"/>
      <c r="G128" s="3"/>
    </row>
    <row r="129" spans="1:7">
      <c r="A129" s="3"/>
      <c r="B129" s="3"/>
      <c r="C129" s="3"/>
      <c r="D129" s="3"/>
      <c r="E129" s="3"/>
      <c r="F129" s="3"/>
      <c r="G129" s="3"/>
    </row>
    <row r="130" spans="1:7">
      <c r="A130" s="3"/>
      <c r="B130" s="3"/>
      <c r="C130" s="3"/>
      <c r="D130" s="3"/>
      <c r="E130" s="3"/>
      <c r="F130" s="3"/>
      <c r="G130" s="3"/>
    </row>
    <row r="131" spans="1:7">
      <c r="A131" s="3"/>
      <c r="B131" s="3"/>
      <c r="C131" s="3"/>
      <c r="D131" s="3"/>
      <c r="E131" s="3"/>
      <c r="F131" s="3"/>
      <c r="G131" s="3"/>
    </row>
    <row r="132" spans="1:7">
      <c r="A132" s="3"/>
      <c r="B132" s="3"/>
      <c r="C132" s="3"/>
      <c r="D132" s="3"/>
      <c r="E132" s="3"/>
      <c r="F132" s="3"/>
      <c r="G132" s="3"/>
    </row>
    <row r="133" spans="1:7">
      <c r="A133" s="3"/>
      <c r="B133" s="3"/>
      <c r="C133" s="3"/>
      <c r="D133" s="3"/>
      <c r="E133" s="3"/>
      <c r="F133" s="3"/>
      <c r="G133" s="3"/>
    </row>
    <row r="134" spans="1:7">
      <c r="A134" s="3"/>
      <c r="B134" s="3"/>
      <c r="C134" s="3"/>
      <c r="D134" s="3"/>
      <c r="E134" s="3"/>
      <c r="F134" s="3"/>
      <c r="G134" s="3"/>
    </row>
    <row r="135" spans="1:7">
      <c r="A135" s="3"/>
      <c r="B135" s="3"/>
      <c r="C135" s="3"/>
      <c r="D135" s="3"/>
      <c r="E135" s="3"/>
      <c r="F135" s="3"/>
      <c r="G135" s="3"/>
    </row>
    <row r="136" spans="1:7">
      <c r="A136" s="3"/>
      <c r="B136" s="3"/>
      <c r="C136" s="3"/>
      <c r="D136" s="3"/>
      <c r="E136" s="3"/>
      <c r="F136" s="3"/>
      <c r="G136" s="3"/>
    </row>
    <row r="137" spans="1:7">
      <c r="A137" s="3"/>
      <c r="B137" s="3"/>
      <c r="C137" s="3"/>
      <c r="D137" s="3"/>
      <c r="E137" s="3"/>
      <c r="F137" s="3"/>
      <c r="G137" s="3"/>
    </row>
    <row r="138" spans="1:7">
      <c r="A138" s="3"/>
      <c r="B138" s="3"/>
      <c r="C138" s="3"/>
      <c r="D138" s="3"/>
      <c r="E138" s="3"/>
      <c r="F138" s="3"/>
      <c r="G138" s="3"/>
    </row>
    <row r="139" spans="1:7">
      <c r="A139" s="3"/>
      <c r="B139" s="3"/>
      <c r="C139" s="3"/>
      <c r="D139" s="3"/>
      <c r="E139" s="3"/>
      <c r="F139" s="3"/>
      <c r="G139" s="3"/>
    </row>
    <row r="140" spans="1:7">
      <c r="A140" s="3"/>
      <c r="B140" s="3"/>
      <c r="C140" s="3"/>
      <c r="D140" s="3"/>
      <c r="E140" s="3"/>
      <c r="F140" s="3"/>
      <c r="G140" s="3"/>
    </row>
    <row r="141" spans="1:7">
      <c r="A141" s="3"/>
      <c r="B141" s="3"/>
      <c r="C141" s="3"/>
      <c r="D141" s="3"/>
      <c r="E141" s="3"/>
      <c r="F141" s="3"/>
      <c r="G141" s="3"/>
    </row>
    <row r="142" spans="1:7">
      <c r="A142" s="3"/>
      <c r="B142" s="3"/>
      <c r="C142" s="3"/>
      <c r="D142" s="3"/>
      <c r="E142" s="3"/>
      <c r="F142" s="3"/>
      <c r="G142" s="3"/>
    </row>
    <row r="143" spans="1:7">
      <c r="A143" s="3"/>
      <c r="B143" s="3"/>
      <c r="C143" s="3"/>
      <c r="D143" s="3"/>
      <c r="E143" s="3"/>
      <c r="F143" s="3"/>
      <c r="G143" s="3"/>
    </row>
    <row r="144" spans="1:7">
      <c r="A144" s="3"/>
      <c r="B144" s="3"/>
      <c r="C144" s="3"/>
      <c r="D144" s="3"/>
      <c r="E144" s="3"/>
      <c r="F144" s="3"/>
      <c r="G144" s="3"/>
    </row>
    <row r="145" spans="1:7">
      <c r="A145" s="3"/>
      <c r="B145" s="3"/>
      <c r="C145" s="3"/>
      <c r="D145" s="3"/>
      <c r="E145" s="3"/>
      <c r="F145" s="3"/>
      <c r="G145" s="3"/>
    </row>
    <row r="146" spans="1:7">
      <c r="A146" s="3"/>
      <c r="B146" s="3"/>
      <c r="C146" s="3"/>
      <c r="D146" s="3"/>
      <c r="E146" s="3"/>
      <c r="F146" s="3"/>
      <c r="G146" s="3"/>
    </row>
    <row r="147" spans="1:7">
      <c r="A147" s="3"/>
      <c r="B147" s="3"/>
      <c r="C147" s="3"/>
      <c r="D147" s="3"/>
      <c r="E147" s="3"/>
      <c r="F147" s="3"/>
      <c r="G147" s="3"/>
    </row>
    <row r="148" spans="1:7">
      <c r="A148" s="3"/>
      <c r="B148" s="3"/>
      <c r="C148" s="3"/>
      <c r="D148" s="3"/>
      <c r="E148" s="3"/>
      <c r="F148" s="3"/>
      <c r="G148" s="3"/>
    </row>
    <row r="149" spans="1:7">
      <c r="A149" s="3"/>
      <c r="B149" s="3"/>
      <c r="C149" s="3"/>
      <c r="D149" s="3"/>
      <c r="E149" s="3"/>
      <c r="F149" s="3"/>
      <c r="G149" s="3"/>
    </row>
    <row r="150" spans="1:7">
      <c r="A150" s="3"/>
      <c r="B150" s="3"/>
      <c r="C150" s="3"/>
      <c r="D150" s="3"/>
      <c r="E150" s="3"/>
      <c r="F150" s="3"/>
      <c r="G150" s="3"/>
    </row>
    <row r="151" spans="1:7">
      <c r="A151" s="3"/>
      <c r="B151" s="3"/>
      <c r="C151" s="3"/>
      <c r="D151" s="3"/>
      <c r="E151" s="3"/>
      <c r="F151" s="3"/>
      <c r="G151" s="3"/>
    </row>
    <row r="152" spans="1:7">
      <c r="A152" s="3"/>
      <c r="B152" s="3"/>
      <c r="C152" s="3"/>
      <c r="D152" s="3"/>
      <c r="E152" s="3"/>
      <c r="F152" s="3"/>
      <c r="G152" s="3"/>
    </row>
    <row r="153" spans="1:7">
      <c r="A153" s="3"/>
      <c r="B153" s="3"/>
      <c r="C153" s="3"/>
      <c r="D153" s="3"/>
      <c r="E153" s="3"/>
      <c r="F153" s="3"/>
      <c r="G153" s="3"/>
    </row>
    <row r="154" spans="1:7">
      <c r="A154" s="3"/>
      <c r="B154" s="3"/>
      <c r="C154" s="3"/>
      <c r="D154" s="3"/>
      <c r="E154" s="3"/>
      <c r="F154" s="3"/>
      <c r="G154" s="3"/>
    </row>
    <row r="155" spans="1:7">
      <c r="A155" s="3"/>
      <c r="B155" s="3"/>
      <c r="C155" s="3"/>
      <c r="D155" s="3"/>
      <c r="E155" s="3"/>
      <c r="F155" s="3"/>
      <c r="G155" s="3"/>
    </row>
    <row r="156" spans="1:7">
      <c r="A156" s="3"/>
      <c r="B156" s="3"/>
      <c r="C156" s="3"/>
      <c r="D156" s="3"/>
      <c r="E156" s="3"/>
      <c r="F156" s="3"/>
      <c r="G156" s="3"/>
    </row>
    <row r="157" spans="1:7">
      <c r="A157" s="3"/>
      <c r="B157" s="3"/>
      <c r="C157" s="3"/>
      <c r="D157" s="3"/>
      <c r="E157" s="3"/>
      <c r="F157" s="3"/>
      <c r="G157" s="3"/>
    </row>
    <row r="158" spans="1:7">
      <c r="A158" s="3"/>
      <c r="B158" s="3"/>
      <c r="C158" s="3"/>
      <c r="D158" s="3"/>
      <c r="E158" s="3"/>
      <c r="F158" s="3"/>
      <c r="G158" s="3"/>
    </row>
    <row r="159" spans="1:7">
      <c r="A159" s="3"/>
      <c r="B159" s="3"/>
      <c r="C159" s="3"/>
      <c r="D159" s="3"/>
      <c r="E159" s="3"/>
      <c r="F159" s="3"/>
      <c r="G159" s="3"/>
    </row>
    <row r="160" spans="1:7">
      <c r="A160" s="3"/>
      <c r="B160" s="3"/>
      <c r="C160" s="3"/>
      <c r="D160" s="3"/>
      <c r="E160" s="3"/>
      <c r="F160" s="3"/>
      <c r="G160" s="3"/>
    </row>
    <row r="161" spans="1:7">
      <c r="A161" s="3"/>
      <c r="B161" s="3"/>
      <c r="C161" s="3"/>
      <c r="D161" s="3"/>
      <c r="E161" s="3"/>
      <c r="F161" s="3"/>
      <c r="G161" s="3"/>
    </row>
    <row r="162" spans="1:7">
      <c r="A162" s="3"/>
      <c r="B162" s="3"/>
      <c r="C162" s="3"/>
      <c r="D162" s="3"/>
      <c r="E162" s="3"/>
      <c r="F162" s="3"/>
      <c r="G162" s="3"/>
    </row>
    <row r="163" spans="1:7">
      <c r="A163" s="3"/>
      <c r="B163" s="3"/>
      <c r="C163" s="3"/>
      <c r="D163" s="3"/>
      <c r="E163" s="3"/>
      <c r="F163" s="3"/>
      <c r="G163" s="3"/>
    </row>
    <row r="164" spans="1:7">
      <c r="A164" s="3"/>
      <c r="B164" s="3"/>
      <c r="C164" s="3"/>
      <c r="D164" s="3"/>
      <c r="E164" s="3"/>
      <c r="F164" s="3"/>
      <c r="G164" s="3"/>
    </row>
    <row r="165" spans="1:7">
      <c r="A165" s="3"/>
      <c r="B165" s="3"/>
      <c r="C165" s="3"/>
      <c r="D165" s="3"/>
      <c r="E165" s="3"/>
      <c r="F165" s="3"/>
      <c r="G165" s="3"/>
    </row>
    <row r="166" spans="1:7">
      <c r="A166" s="3"/>
      <c r="B166" s="3"/>
      <c r="C166" s="3"/>
      <c r="D166" s="3"/>
      <c r="E166" s="3"/>
      <c r="F166" s="3"/>
      <c r="G166" s="3"/>
    </row>
    <row r="167" spans="1:7">
      <c r="A167" s="3"/>
      <c r="B167" s="3"/>
      <c r="C167" s="3"/>
      <c r="D167" s="3"/>
      <c r="E167" s="3"/>
      <c r="F167" s="3"/>
      <c r="G167" s="3"/>
    </row>
    <row r="168" spans="1:7">
      <c r="A168" s="3"/>
      <c r="B168" s="3"/>
      <c r="C168" s="3"/>
      <c r="D168" s="3"/>
      <c r="E168" s="3"/>
      <c r="F168" s="3"/>
      <c r="G168" s="3"/>
    </row>
    <row r="169" spans="1:7">
      <c r="A169" s="3"/>
      <c r="B169" s="3"/>
      <c r="C169" s="3"/>
      <c r="D169" s="3"/>
      <c r="E169" s="3"/>
      <c r="F169" s="3"/>
      <c r="G169" s="3"/>
    </row>
    <row r="170" spans="1:7">
      <c r="A170" s="3"/>
      <c r="B170" s="3"/>
      <c r="C170" s="3"/>
      <c r="D170" s="3"/>
      <c r="E170" s="3"/>
      <c r="F170" s="3"/>
      <c r="G170" s="3"/>
    </row>
    <row r="171" spans="1:7">
      <c r="A171" s="3"/>
      <c r="B171" s="3"/>
      <c r="C171" s="3"/>
      <c r="D171" s="3"/>
      <c r="E171" s="3"/>
      <c r="F171" s="3"/>
      <c r="G171" s="3"/>
    </row>
    <row r="172" spans="1:7">
      <c r="A172" s="3"/>
      <c r="B172" s="3"/>
      <c r="C172" s="3"/>
      <c r="D172" s="3"/>
      <c r="E172" s="3"/>
      <c r="F172" s="3"/>
      <c r="G172" s="3"/>
    </row>
    <row r="173" spans="1:7">
      <c r="A173" s="3"/>
      <c r="B173" s="3"/>
      <c r="C173" s="3"/>
      <c r="D173" s="3"/>
      <c r="E173" s="3"/>
      <c r="F173" s="3"/>
      <c r="G173" s="3"/>
    </row>
    <row r="174" spans="1:7">
      <c r="A174" s="3"/>
      <c r="B174" s="3"/>
      <c r="C174" s="3"/>
      <c r="D174" s="3"/>
      <c r="E174" s="3"/>
      <c r="F174" s="3"/>
      <c r="G174" s="3"/>
    </row>
    <row r="175" spans="1:7">
      <c r="A175" s="3"/>
      <c r="B175" s="3"/>
      <c r="C175" s="3"/>
      <c r="D175" s="3"/>
      <c r="E175" s="3"/>
      <c r="F175" s="3"/>
      <c r="G175" s="3"/>
    </row>
    <row r="176" spans="1:7">
      <c r="A176" s="3"/>
      <c r="B176" s="3"/>
      <c r="C176" s="3"/>
      <c r="D176" s="3"/>
      <c r="E176" s="3"/>
      <c r="F176" s="3"/>
      <c r="G176" s="3"/>
    </row>
    <row r="177" spans="1:7">
      <c r="A177" s="3"/>
      <c r="B177" s="3"/>
      <c r="C177" s="3"/>
      <c r="D177" s="3"/>
      <c r="E177" s="3"/>
      <c r="F177" s="3"/>
      <c r="G177" s="3"/>
    </row>
    <row r="178" spans="1:7">
      <c r="A178" s="3"/>
      <c r="B178" s="3"/>
      <c r="C178" s="3"/>
      <c r="D178" s="3"/>
      <c r="E178" s="3"/>
      <c r="F178" s="3"/>
      <c r="G178" s="3"/>
    </row>
    <row r="179" spans="1:7">
      <c r="A179" s="3"/>
      <c r="B179" s="3"/>
      <c r="C179" s="3"/>
      <c r="D179" s="3"/>
      <c r="E179" s="3"/>
      <c r="F179" s="3"/>
      <c r="G179" s="3"/>
    </row>
    <row r="180" spans="1:7">
      <c r="A180" s="3"/>
      <c r="B180" s="3"/>
      <c r="C180" s="3"/>
      <c r="D180" s="3"/>
      <c r="E180" s="3"/>
      <c r="F180" s="3"/>
      <c r="G180" s="3"/>
    </row>
    <row r="181" spans="1:7">
      <c r="A181" s="3"/>
      <c r="B181" s="3"/>
      <c r="C181" s="3"/>
      <c r="D181" s="3"/>
      <c r="E181" s="3"/>
      <c r="F181" s="3"/>
      <c r="G181" s="3"/>
    </row>
    <row r="182" spans="1:7">
      <c r="A182" s="3"/>
      <c r="B182" s="3"/>
      <c r="C182" s="3"/>
      <c r="D182" s="3"/>
      <c r="E182" s="3"/>
      <c r="F182" s="3"/>
      <c r="G182" s="3"/>
    </row>
    <row r="183" spans="1:7">
      <c r="A183" s="3"/>
      <c r="B183" s="3"/>
      <c r="C183" s="3"/>
      <c r="D183" s="3"/>
      <c r="E183" s="3"/>
      <c r="F183" s="3"/>
      <c r="G183" s="3"/>
    </row>
    <row r="184" spans="1:7">
      <c r="A184" s="3"/>
      <c r="B184" s="3"/>
      <c r="C184" s="3"/>
      <c r="D184" s="3"/>
      <c r="E184" s="3"/>
      <c r="F184" s="3"/>
      <c r="G184" s="3"/>
    </row>
    <row r="185" spans="1:7">
      <c r="A185" s="3"/>
      <c r="B185" s="3"/>
      <c r="C185" s="3"/>
      <c r="D185" s="3"/>
      <c r="E185" s="3"/>
      <c r="F185" s="3"/>
      <c r="G185" s="3"/>
    </row>
    <row r="186" spans="1:7">
      <c r="A186" s="3"/>
      <c r="B186" s="3"/>
      <c r="C186" s="3"/>
      <c r="D186" s="3"/>
      <c r="E186" s="3"/>
      <c r="F186" s="3"/>
      <c r="G186" s="3"/>
    </row>
    <row r="187" spans="1:7">
      <c r="A187" s="3"/>
      <c r="B187" s="3"/>
      <c r="C187" s="3"/>
      <c r="D187" s="3"/>
      <c r="E187" s="3"/>
      <c r="F187" s="3"/>
      <c r="G187" s="3"/>
    </row>
    <row r="188" spans="1:7">
      <c r="A188" s="3"/>
      <c r="B188" s="3"/>
      <c r="C188" s="3"/>
      <c r="D188" s="3"/>
      <c r="E188" s="3"/>
      <c r="F188" s="3"/>
      <c r="G188" s="3"/>
    </row>
    <row r="189" spans="1:7">
      <c r="A189" s="3"/>
      <c r="B189" s="3"/>
      <c r="C189" s="3"/>
      <c r="D189" s="3"/>
      <c r="E189" s="3"/>
      <c r="F189" s="3"/>
      <c r="G189" s="3"/>
    </row>
    <row r="190" spans="1:7">
      <c r="A190" s="3"/>
      <c r="B190" s="3"/>
      <c r="C190" s="3"/>
      <c r="D190" s="3"/>
      <c r="E190" s="3"/>
      <c r="F190" s="3"/>
      <c r="G190" s="3"/>
    </row>
    <row r="191" spans="1:7">
      <c r="A191" s="3"/>
      <c r="B191" s="3"/>
      <c r="C191" s="3"/>
      <c r="D191" s="3"/>
      <c r="E191" s="3"/>
      <c r="F191" s="3"/>
      <c r="G191" s="3"/>
    </row>
    <row r="192" spans="1:7">
      <c r="A192" s="3"/>
      <c r="B192" s="3"/>
      <c r="C192" s="3"/>
      <c r="D192" s="3"/>
      <c r="E192" s="3"/>
      <c r="F192" s="3"/>
      <c r="G192" s="3"/>
    </row>
    <row r="193" spans="1:7">
      <c r="A193" s="3"/>
      <c r="B193" s="3"/>
      <c r="C193" s="3"/>
      <c r="D193" s="3"/>
      <c r="E193" s="3"/>
      <c r="F193" s="3"/>
      <c r="G193" s="3"/>
    </row>
    <row r="194" spans="1:7">
      <c r="A194" s="3"/>
      <c r="B194" s="3"/>
      <c r="C194" s="3"/>
      <c r="D194" s="3"/>
      <c r="E194" s="3"/>
      <c r="F194" s="3"/>
      <c r="G194" s="3"/>
    </row>
    <row r="195" spans="1:7">
      <c r="A195" s="3"/>
      <c r="B195" s="3"/>
      <c r="C195" s="3"/>
      <c r="D195" s="3"/>
      <c r="E195" s="3"/>
      <c r="F195" s="3"/>
      <c r="G195" s="3"/>
    </row>
    <row r="196" spans="1:7">
      <c r="A196" s="3"/>
      <c r="B196" s="3"/>
      <c r="C196" s="3"/>
      <c r="D196" s="3"/>
      <c r="E196" s="3"/>
      <c r="F196" s="3"/>
      <c r="G196" s="3"/>
    </row>
    <row r="197" spans="1:7">
      <c r="A197" s="3"/>
      <c r="B197" s="3"/>
      <c r="C197" s="3"/>
      <c r="D197" s="3"/>
      <c r="E197" s="3"/>
      <c r="F197" s="3"/>
      <c r="G197" s="3"/>
    </row>
    <row r="198" spans="1:7">
      <c r="A198" s="3"/>
      <c r="B198" s="3"/>
      <c r="C198" s="3"/>
      <c r="D198" s="3"/>
      <c r="E198" s="3"/>
      <c r="F198" s="3"/>
      <c r="G198" s="3"/>
    </row>
    <row r="199" spans="1:7">
      <c r="A199" s="3"/>
      <c r="B199" s="3"/>
      <c r="C199" s="3"/>
      <c r="D199" s="3"/>
      <c r="E199" s="3"/>
      <c r="F199" s="3"/>
      <c r="G199" s="3"/>
    </row>
    <row r="200" spans="1:7">
      <c r="A200" s="3"/>
      <c r="B200" s="3"/>
      <c r="C200" s="3"/>
      <c r="D200" s="3"/>
      <c r="E200" s="3"/>
      <c r="F200" s="3"/>
      <c r="G200" s="3"/>
    </row>
    <row r="201" spans="1:7">
      <c r="A201" s="3"/>
      <c r="B201" s="3"/>
      <c r="C201" s="3"/>
      <c r="D201" s="3"/>
      <c r="E201" s="3"/>
      <c r="F201" s="3"/>
      <c r="G201" s="3"/>
    </row>
    <row r="202" spans="1:7">
      <c r="A202" s="3"/>
      <c r="B202" s="3"/>
      <c r="C202" s="3"/>
      <c r="D202" s="3"/>
      <c r="E202" s="3"/>
      <c r="F202" s="3"/>
      <c r="G202" s="3"/>
    </row>
    <row r="203" spans="1:7">
      <c r="A203" s="3"/>
      <c r="B203" s="3"/>
      <c r="C203" s="3"/>
      <c r="D203" s="3"/>
      <c r="E203" s="3"/>
      <c r="F203" s="3"/>
      <c r="G203" s="3"/>
    </row>
    <row r="204" spans="1:7">
      <c r="A204" s="3"/>
      <c r="B204" s="3"/>
      <c r="C204" s="3"/>
      <c r="D204" s="3"/>
      <c r="E204" s="3"/>
      <c r="F204" s="3"/>
      <c r="G204" s="3"/>
    </row>
    <row r="205" spans="1:7">
      <c r="A205" s="3"/>
      <c r="B205" s="3"/>
      <c r="C205" s="3"/>
      <c r="D205" s="3"/>
      <c r="E205" s="3"/>
      <c r="F205" s="3"/>
      <c r="G205" s="3"/>
    </row>
    <row r="206" spans="1:7">
      <c r="A206" s="3"/>
      <c r="B206" s="3"/>
      <c r="C206" s="3"/>
      <c r="D206" s="3"/>
      <c r="E206" s="3"/>
      <c r="F206" s="3"/>
      <c r="G206" s="3"/>
    </row>
    <row r="207" spans="1:7">
      <c r="A207" s="3"/>
      <c r="B207" s="3"/>
      <c r="C207" s="3"/>
      <c r="D207" s="3"/>
      <c r="E207" s="3"/>
      <c r="F207" s="3"/>
      <c r="G207" s="3"/>
    </row>
    <row r="208" spans="1:7">
      <c r="A208" s="3"/>
      <c r="B208" s="3"/>
      <c r="C208" s="3"/>
      <c r="D208" s="3"/>
      <c r="E208" s="3"/>
      <c r="F208" s="3"/>
      <c r="G208" s="3"/>
    </row>
    <row r="209" spans="1:7">
      <c r="A209" s="3"/>
      <c r="B209" s="3"/>
      <c r="C209" s="3"/>
      <c r="D209" s="3"/>
      <c r="E209" s="3"/>
      <c r="F209" s="3"/>
      <c r="G209" s="3"/>
    </row>
    <row r="210" spans="1:7">
      <c r="A210" s="3"/>
      <c r="B210" s="3"/>
      <c r="C210" s="3"/>
      <c r="D210" s="3"/>
      <c r="E210" s="3"/>
      <c r="F210" s="3"/>
      <c r="G210" s="3"/>
    </row>
    <row r="211" spans="1:7">
      <c r="A211" s="3"/>
      <c r="B211" s="3"/>
      <c r="C211" s="3"/>
      <c r="D211" s="3"/>
      <c r="E211" s="3"/>
      <c r="F211" s="3"/>
      <c r="G211" s="3"/>
    </row>
    <row r="212" spans="1:7">
      <c r="A212" s="3"/>
      <c r="B212" s="3"/>
      <c r="C212" s="3"/>
      <c r="D212" s="3"/>
      <c r="E212" s="3"/>
      <c r="F212" s="3"/>
      <c r="G212" s="3"/>
    </row>
    <row r="213" spans="1:7">
      <c r="A213" s="3"/>
      <c r="B213" s="3"/>
      <c r="C213" s="3"/>
      <c r="D213" s="3"/>
      <c r="E213" s="3"/>
      <c r="F213" s="3"/>
      <c r="G213" s="3"/>
    </row>
    <row r="214" spans="1:7">
      <c r="A214" s="3"/>
      <c r="B214" s="3"/>
      <c r="C214" s="3"/>
      <c r="D214" s="3"/>
      <c r="E214" s="3"/>
      <c r="F214" s="3"/>
      <c r="G214" s="3"/>
    </row>
    <row r="215" spans="1:7">
      <c r="A215" s="3"/>
      <c r="B215" s="3"/>
      <c r="C215" s="3"/>
      <c r="D215" s="3"/>
      <c r="E215" s="3"/>
      <c r="F215" s="3"/>
      <c r="G215" s="3"/>
    </row>
    <row r="216" spans="1:7">
      <c r="A216" s="3"/>
      <c r="B216" s="3"/>
      <c r="C216" s="3"/>
      <c r="D216" s="3"/>
      <c r="E216" s="3"/>
      <c r="F216" s="3"/>
      <c r="G216" s="3"/>
    </row>
    <row r="217" spans="1:7">
      <c r="A217" s="3"/>
      <c r="B217" s="3"/>
      <c r="C217" s="3"/>
      <c r="D217" s="3"/>
      <c r="E217" s="3"/>
      <c r="F217" s="3"/>
      <c r="G217" s="3"/>
    </row>
    <row r="218" spans="1:7">
      <c r="A218" s="3"/>
      <c r="B218" s="3"/>
      <c r="C218" s="3"/>
      <c r="D218" s="3"/>
      <c r="E218" s="3"/>
      <c r="F218" s="3"/>
      <c r="G218" s="3"/>
    </row>
    <row r="219" spans="1:7">
      <c r="A219" s="3"/>
      <c r="B219" s="3"/>
      <c r="C219" s="3"/>
      <c r="D219" s="3"/>
      <c r="E219" s="3"/>
      <c r="F219" s="3"/>
      <c r="G219" s="3"/>
    </row>
    <row r="220" spans="1:7">
      <c r="A220" s="3"/>
      <c r="B220" s="3"/>
      <c r="C220" s="3"/>
      <c r="D220" s="3"/>
      <c r="E220" s="3"/>
      <c r="F220" s="3"/>
      <c r="G220" s="3"/>
    </row>
    <row r="221" spans="1:7">
      <c r="A221" s="3"/>
      <c r="B221" s="3"/>
      <c r="C221" s="3"/>
      <c r="D221" s="3"/>
      <c r="E221" s="3"/>
      <c r="F221" s="3"/>
      <c r="G221" s="3"/>
    </row>
    <row r="222" spans="1:7">
      <c r="A222" s="3"/>
      <c r="B222" s="3"/>
      <c r="C222" s="3"/>
      <c r="D222" s="3"/>
      <c r="E222" s="3"/>
      <c r="F222" s="3"/>
      <c r="G222" s="3"/>
    </row>
    <row r="223" spans="1:7">
      <c r="A223" s="3"/>
      <c r="B223" s="3"/>
      <c r="C223" s="3"/>
      <c r="D223" s="3"/>
      <c r="E223" s="3"/>
      <c r="F223" s="3"/>
      <c r="G223" s="3"/>
    </row>
    <row r="224" spans="1:7">
      <c r="A224" s="3"/>
      <c r="B224" s="3"/>
      <c r="C224" s="3"/>
      <c r="D224" s="3"/>
      <c r="E224" s="3"/>
      <c r="F224" s="3"/>
      <c r="G224" s="3"/>
    </row>
    <row r="225" spans="1:7">
      <c r="A225" s="3"/>
      <c r="B225" s="3"/>
      <c r="C225" s="3"/>
      <c r="D225" s="3"/>
      <c r="E225" s="3"/>
      <c r="F225" s="3"/>
      <c r="G225" s="3"/>
    </row>
    <row r="226" spans="1:7">
      <c r="A226" s="3"/>
      <c r="B226" s="3"/>
      <c r="C226" s="3"/>
      <c r="D226" s="3"/>
      <c r="E226" s="3"/>
      <c r="F226" s="3"/>
      <c r="G226" s="3"/>
    </row>
    <row r="227" spans="1:7">
      <c r="A227" s="3"/>
      <c r="B227" s="3"/>
      <c r="C227" s="3"/>
      <c r="D227" s="3"/>
      <c r="E227" s="3"/>
      <c r="F227" s="3"/>
      <c r="G227" s="3"/>
    </row>
    <row r="228" spans="1:7">
      <c r="A228" s="3"/>
      <c r="B228" s="3"/>
      <c r="C228" s="3"/>
      <c r="D228" s="3"/>
      <c r="E228" s="3"/>
      <c r="F228" s="3"/>
      <c r="G228" s="3"/>
    </row>
    <row r="229" spans="1:7">
      <c r="A229" s="3"/>
      <c r="B229" s="3"/>
      <c r="C229" s="3"/>
      <c r="D229" s="3"/>
      <c r="E229" s="3"/>
      <c r="F229" s="3"/>
      <c r="G229" s="3"/>
    </row>
    <row r="230" spans="1:7">
      <c r="A230" s="3"/>
      <c r="B230" s="3"/>
      <c r="C230" s="3"/>
      <c r="D230" s="3"/>
      <c r="E230" s="3"/>
      <c r="F230" s="3"/>
      <c r="G230" s="3"/>
    </row>
    <row r="231" spans="1:7">
      <c r="A231" s="3"/>
      <c r="B231" s="3"/>
      <c r="C231" s="3"/>
      <c r="D231" s="3"/>
      <c r="E231" s="3"/>
      <c r="F231" s="3"/>
      <c r="G231" s="3"/>
    </row>
    <row r="232" spans="1:7">
      <c r="A232" s="3"/>
      <c r="B232" s="3"/>
      <c r="C232" s="3"/>
      <c r="D232" s="3"/>
      <c r="E232" s="3"/>
      <c r="F232" s="3"/>
      <c r="G232" s="3"/>
    </row>
    <row r="233" spans="1:7">
      <c r="A233" s="3"/>
      <c r="B233" s="3"/>
      <c r="C233" s="3"/>
      <c r="D233" s="3"/>
      <c r="E233" s="3"/>
      <c r="F233" s="3"/>
      <c r="G233" s="3"/>
    </row>
    <row r="234" spans="1:7">
      <c r="A234" s="3"/>
      <c r="B234" s="3"/>
      <c r="C234" s="3"/>
      <c r="D234" s="3"/>
      <c r="E234" s="3"/>
      <c r="F234" s="3"/>
      <c r="G234" s="3"/>
    </row>
    <row r="235" spans="1:7">
      <c r="A235" s="3"/>
      <c r="B235" s="3"/>
      <c r="C235" s="3"/>
      <c r="D235" s="3"/>
      <c r="E235" s="3"/>
      <c r="F235" s="3"/>
      <c r="G235" s="3"/>
    </row>
    <row r="236" spans="1:7">
      <c r="A236" s="3"/>
      <c r="B236" s="3"/>
      <c r="C236" s="3"/>
      <c r="D236" s="3"/>
      <c r="E236" s="3"/>
      <c r="F236" s="3"/>
      <c r="G236" s="3"/>
    </row>
    <row r="237" spans="1:7">
      <c r="A237" s="3"/>
      <c r="B237" s="3"/>
      <c r="C237" s="3"/>
      <c r="D237" s="3"/>
      <c r="E237" s="3"/>
      <c r="F237" s="3"/>
      <c r="G237" s="3"/>
    </row>
    <row r="238" spans="1:7">
      <c r="A238" s="3"/>
      <c r="B238" s="3"/>
      <c r="C238" s="3"/>
      <c r="D238" s="3"/>
      <c r="E238" s="3"/>
      <c r="F238" s="3"/>
      <c r="G238" s="3"/>
    </row>
    <row r="239" spans="1:7">
      <c r="A239" s="3"/>
      <c r="B239" s="3"/>
      <c r="C239" s="3"/>
      <c r="D239" s="3"/>
      <c r="E239" s="3"/>
      <c r="F239" s="3"/>
      <c r="G239" s="3"/>
    </row>
    <row r="240" spans="1:7">
      <c r="A240" s="3"/>
      <c r="B240" s="3"/>
      <c r="C240" s="3"/>
      <c r="D240" s="3"/>
      <c r="E240" s="3"/>
      <c r="F240" s="3"/>
      <c r="G240" s="3"/>
    </row>
    <row r="241" spans="1:7">
      <c r="A241" s="3"/>
      <c r="B241" s="3"/>
      <c r="C241" s="3"/>
      <c r="D241" s="3"/>
      <c r="E241" s="3"/>
      <c r="F241" s="3"/>
      <c r="G241" s="3"/>
    </row>
    <row r="242" spans="1:7">
      <c r="A242" s="3"/>
      <c r="B242" s="3"/>
      <c r="C242" s="3"/>
      <c r="D242" s="3"/>
      <c r="E242" s="3"/>
      <c r="F242" s="3"/>
      <c r="G242" s="3"/>
    </row>
    <row r="243" spans="1:7">
      <c r="A243" s="3"/>
      <c r="B243" s="3"/>
      <c r="C243" s="3"/>
      <c r="D243" s="3"/>
      <c r="E243" s="3"/>
      <c r="F243" s="3"/>
      <c r="G243" s="3"/>
    </row>
    <row r="244" spans="1:7">
      <c r="A244" s="3"/>
      <c r="B244" s="3"/>
      <c r="C244" s="3"/>
      <c r="D244" s="3"/>
      <c r="E244" s="3"/>
      <c r="F244" s="3"/>
      <c r="G244" s="3"/>
    </row>
    <row r="245" spans="1:7">
      <c r="A245" s="3"/>
      <c r="B245" s="3"/>
      <c r="C245" s="3"/>
      <c r="D245" s="3"/>
      <c r="E245" s="3"/>
      <c r="F245" s="3"/>
      <c r="G245" s="3"/>
    </row>
    <row r="246" spans="1:7">
      <c r="A246" s="3"/>
      <c r="B246" s="3"/>
      <c r="C246" s="3"/>
      <c r="D246" s="3"/>
      <c r="E246" s="3"/>
      <c r="F246" s="3"/>
      <c r="G246" s="3"/>
    </row>
    <row r="247" spans="1:7">
      <c r="A247" s="3"/>
      <c r="B247" s="3"/>
      <c r="C247" s="3"/>
      <c r="D247" s="3"/>
      <c r="E247" s="3"/>
      <c r="F247" s="3"/>
      <c r="G247" s="3"/>
    </row>
    <row r="248" spans="1:7">
      <c r="A248" s="3"/>
      <c r="B248" s="3"/>
      <c r="C248" s="3"/>
      <c r="D248" s="3"/>
      <c r="E248" s="3"/>
      <c r="F248" s="3"/>
      <c r="G248" s="3"/>
    </row>
    <row r="249" spans="1:7">
      <c r="A249" s="3"/>
      <c r="B249" s="3"/>
      <c r="C249" s="3"/>
      <c r="D249" s="3"/>
      <c r="E249" s="3"/>
      <c r="F249" s="3"/>
      <c r="G249" s="3"/>
    </row>
    <row r="250" spans="1:7">
      <c r="A250" s="3"/>
      <c r="B250" s="3"/>
      <c r="C250" s="3"/>
      <c r="D250" s="3"/>
      <c r="E250" s="3"/>
      <c r="F250" s="3"/>
      <c r="G250" s="3"/>
    </row>
    <row r="251" spans="1:7">
      <c r="A251" s="3"/>
      <c r="B251" s="3"/>
      <c r="C251" s="3"/>
      <c r="D251" s="3"/>
      <c r="E251" s="3"/>
      <c r="F251" s="3"/>
      <c r="G251" s="3"/>
    </row>
    <row r="252" spans="1:7">
      <c r="A252" s="3"/>
      <c r="B252" s="3"/>
      <c r="C252" s="3"/>
      <c r="D252" s="3"/>
      <c r="E252" s="3"/>
      <c r="F252" s="3"/>
      <c r="G252" s="3"/>
    </row>
    <row r="253" spans="1:7">
      <c r="A253" s="3"/>
      <c r="B253" s="3"/>
      <c r="C253" s="3"/>
      <c r="D253" s="3"/>
      <c r="E253" s="3"/>
      <c r="F253" s="3"/>
      <c r="G253" s="3"/>
    </row>
    <row r="254" spans="1:7">
      <c r="A254" s="3"/>
      <c r="B254" s="3"/>
      <c r="C254" s="3"/>
      <c r="D254" s="3"/>
      <c r="E254" s="3"/>
      <c r="F254" s="3"/>
      <c r="G254" s="3"/>
    </row>
    <row r="255" spans="1:7">
      <c r="A255" s="3"/>
      <c r="B255" s="3"/>
      <c r="C255" s="3"/>
      <c r="D255" s="3"/>
      <c r="E255" s="3"/>
      <c r="F255" s="3"/>
      <c r="G255" s="3"/>
    </row>
    <row r="256" spans="1:7">
      <c r="A256" s="3"/>
      <c r="B256" s="3"/>
      <c r="C256" s="3"/>
      <c r="D256" s="3"/>
      <c r="E256" s="3"/>
      <c r="F256" s="3"/>
      <c r="G256" s="3"/>
    </row>
    <row r="257" spans="1:7">
      <c r="A257" s="3"/>
      <c r="B257" s="3"/>
      <c r="C257" s="3"/>
      <c r="D257" s="3"/>
      <c r="E257" s="3"/>
      <c r="F257" s="3"/>
      <c r="G257" s="3"/>
    </row>
    <row r="258" spans="1:7">
      <c r="A258" s="3"/>
      <c r="B258" s="3"/>
      <c r="C258" s="3"/>
      <c r="D258" s="3"/>
      <c r="E258" s="3"/>
      <c r="F258" s="3"/>
      <c r="G258" s="3"/>
    </row>
    <row r="259" spans="1:7">
      <c r="A259" s="3"/>
      <c r="B259" s="3"/>
      <c r="C259" s="3"/>
      <c r="D259" s="3"/>
      <c r="E259" s="3"/>
      <c r="F259" s="3"/>
      <c r="G259" s="3"/>
    </row>
    <row r="260" spans="1:7">
      <c r="A260" s="3"/>
      <c r="B260" s="3"/>
      <c r="C260" s="3"/>
      <c r="D260" s="3"/>
      <c r="E260" s="3"/>
      <c r="F260" s="3"/>
      <c r="G260" s="3"/>
    </row>
    <row r="261" spans="1:7">
      <c r="A261" s="3"/>
      <c r="B261" s="3"/>
      <c r="C261" s="3"/>
      <c r="D261" s="3"/>
      <c r="E261" s="3"/>
      <c r="F261" s="3"/>
      <c r="G261" s="3"/>
    </row>
    <row r="262" spans="1:7">
      <c r="A262" s="3"/>
      <c r="B262" s="3"/>
      <c r="C262" s="3"/>
      <c r="D262" s="3"/>
      <c r="E262" s="3"/>
      <c r="F262" s="3"/>
      <c r="G262" s="3"/>
    </row>
    <row r="263" spans="1:7">
      <c r="A263" s="3"/>
      <c r="B263" s="3"/>
      <c r="C263" s="3"/>
      <c r="D263" s="3"/>
      <c r="E263" s="3"/>
      <c r="F263" s="3"/>
      <c r="G263" s="3"/>
    </row>
    <row r="264" spans="1:7">
      <c r="A264" s="3"/>
      <c r="B264" s="3"/>
      <c r="C264" s="3"/>
      <c r="D264" s="3"/>
      <c r="E264" s="3"/>
      <c r="F264" s="3"/>
      <c r="G264" s="3"/>
    </row>
    <row r="265" spans="1:7">
      <c r="A265" s="3"/>
      <c r="B265" s="3"/>
      <c r="C265" s="3"/>
      <c r="D265" s="3"/>
      <c r="E265" s="3"/>
      <c r="F265" s="3"/>
      <c r="G265" s="3"/>
    </row>
    <row r="266" spans="1:7">
      <c r="A266" s="3"/>
      <c r="B266" s="3"/>
      <c r="C266" s="3"/>
      <c r="D266" s="3"/>
      <c r="E266" s="3"/>
      <c r="F266" s="3"/>
      <c r="G266" s="3"/>
    </row>
    <row r="267" spans="1:7">
      <c r="A267" s="3"/>
      <c r="B267" s="3"/>
      <c r="C267" s="3"/>
      <c r="D267" s="3"/>
      <c r="E267" s="3"/>
      <c r="F267" s="3"/>
      <c r="G267" s="3"/>
    </row>
    <row r="268" spans="1:7">
      <c r="A268" s="3"/>
      <c r="B268" s="3"/>
      <c r="C268" s="3"/>
      <c r="D268" s="3"/>
      <c r="E268" s="3"/>
      <c r="F268" s="3"/>
      <c r="G268" s="3"/>
    </row>
    <row r="269" spans="1:7">
      <c r="A269" s="3"/>
      <c r="B269" s="3"/>
      <c r="C269" s="3"/>
      <c r="D269" s="3"/>
      <c r="E269" s="3"/>
      <c r="F269" s="3"/>
      <c r="G269" s="3"/>
    </row>
    <row r="270" spans="1:7">
      <c r="A270" s="3"/>
      <c r="B270" s="3"/>
      <c r="C270" s="3"/>
      <c r="D270" s="3"/>
      <c r="E270" s="3"/>
      <c r="F270" s="3"/>
      <c r="G270" s="3"/>
    </row>
    <row r="271" spans="1:7">
      <c r="A271" s="3"/>
      <c r="B271" s="3"/>
      <c r="C271" s="3"/>
      <c r="D271" s="3"/>
      <c r="E271" s="3"/>
      <c r="F271" s="3"/>
      <c r="G271" s="3"/>
    </row>
    <row r="272" spans="1:7">
      <c r="A272" s="3"/>
      <c r="B272" s="3"/>
      <c r="C272" s="3"/>
      <c r="D272" s="3"/>
      <c r="E272" s="3"/>
      <c r="F272" s="3"/>
      <c r="G272" s="3"/>
    </row>
    <row r="273" spans="1:7">
      <c r="A273" s="3"/>
      <c r="B273" s="3"/>
      <c r="C273" s="3"/>
      <c r="D273" s="3"/>
      <c r="E273" s="3"/>
      <c r="F273" s="3"/>
      <c r="G273" s="3"/>
    </row>
    <row r="274" spans="1:7">
      <c r="A274" s="3"/>
      <c r="B274" s="3"/>
      <c r="C274" s="3"/>
      <c r="D274" s="3"/>
      <c r="E274" s="3"/>
      <c r="F274" s="3"/>
      <c r="G274" s="3"/>
    </row>
    <row r="275" spans="1:7">
      <c r="A275" s="3"/>
      <c r="B275" s="3"/>
      <c r="C275" s="3"/>
      <c r="D275" s="3"/>
      <c r="E275" s="3"/>
      <c r="F275" s="3"/>
      <c r="G275" s="3"/>
    </row>
    <row r="276" spans="1:7">
      <c r="A276" s="3"/>
      <c r="B276" s="3"/>
      <c r="C276" s="3"/>
      <c r="D276" s="3"/>
      <c r="E276" s="3"/>
      <c r="F276" s="3"/>
      <c r="G276" s="3"/>
    </row>
    <row r="277" spans="1:7">
      <c r="A277" s="3"/>
      <c r="B277" s="3"/>
      <c r="C277" s="3"/>
      <c r="D277" s="3"/>
      <c r="E277" s="3"/>
      <c r="F277" s="3"/>
      <c r="G277" s="3"/>
    </row>
    <row r="278" spans="1:7">
      <c r="A278" s="3"/>
      <c r="B278" s="3"/>
      <c r="C278" s="3"/>
      <c r="D278" s="3"/>
      <c r="E278" s="3"/>
      <c r="F278" s="3"/>
      <c r="G278" s="3"/>
    </row>
    <row r="279" spans="1:7">
      <c r="A279" s="3"/>
      <c r="B279" s="3"/>
      <c r="C279" s="3"/>
      <c r="D279" s="3"/>
      <c r="E279" s="3"/>
      <c r="F279" s="3"/>
      <c r="G279" s="3"/>
    </row>
    <row r="280" spans="1:7">
      <c r="A280" s="3"/>
      <c r="B280" s="3"/>
      <c r="C280" s="3"/>
      <c r="D280" s="3"/>
      <c r="E280" s="3"/>
      <c r="F280" s="3"/>
      <c r="G280" s="3"/>
    </row>
    <row r="281" spans="1:7">
      <c r="A281" s="3"/>
      <c r="B281" s="3"/>
      <c r="C281" s="3"/>
      <c r="D281" s="3"/>
      <c r="E281" s="3"/>
      <c r="F281" s="3"/>
      <c r="G281" s="3"/>
    </row>
    <row r="282" spans="1:7">
      <c r="A282" s="3"/>
      <c r="B282" s="3"/>
      <c r="C282" s="3"/>
      <c r="D282" s="3"/>
      <c r="E282" s="3"/>
      <c r="F282" s="3"/>
      <c r="G282" s="3"/>
    </row>
    <row r="283" spans="1:7">
      <c r="A283" s="3"/>
      <c r="B283" s="3"/>
      <c r="C283" s="3"/>
      <c r="D283" s="3"/>
      <c r="E283" s="3"/>
      <c r="F283" s="3"/>
      <c r="G283" s="3"/>
    </row>
    <row r="284" spans="1:7">
      <c r="A284" s="3"/>
      <c r="B284" s="3"/>
      <c r="C284" s="3"/>
      <c r="D284" s="3"/>
      <c r="E284" s="3"/>
      <c r="F284" s="3"/>
      <c r="G284" s="3"/>
    </row>
    <row r="285" spans="1:7">
      <c r="A285" s="3"/>
      <c r="B285" s="3"/>
      <c r="C285" s="3"/>
      <c r="D285" s="3"/>
      <c r="E285" s="3"/>
      <c r="F285" s="3"/>
      <c r="G285" s="3"/>
    </row>
    <row r="286" spans="1:7">
      <c r="A286" s="3"/>
      <c r="B286" s="3"/>
      <c r="C286" s="3"/>
      <c r="D286" s="3"/>
      <c r="E286" s="3"/>
      <c r="F286" s="3"/>
      <c r="G286" s="3"/>
    </row>
    <row r="287" spans="1:7">
      <c r="A287" s="3"/>
      <c r="B287" s="3"/>
      <c r="C287" s="3"/>
      <c r="D287" s="3"/>
      <c r="E287" s="3"/>
      <c r="F287" s="3"/>
      <c r="G287" s="3"/>
    </row>
    <row r="288" spans="1:7">
      <c r="A288" s="3"/>
      <c r="B288" s="3"/>
      <c r="C288" s="3"/>
      <c r="D288" s="3"/>
      <c r="E288" s="3"/>
      <c r="F288" s="3"/>
      <c r="G288" s="3"/>
    </row>
    <row r="289" spans="1:7">
      <c r="A289" s="3"/>
      <c r="B289" s="3"/>
      <c r="C289" s="3"/>
      <c r="D289" s="3"/>
      <c r="E289" s="3"/>
      <c r="F289" s="3"/>
      <c r="G289" s="3"/>
    </row>
    <row r="290" spans="1:7">
      <c r="A290" s="3"/>
      <c r="B290" s="3"/>
      <c r="C290" s="3"/>
      <c r="D290" s="3"/>
      <c r="E290" s="3"/>
      <c r="F290" s="3"/>
      <c r="G290" s="3"/>
    </row>
    <row r="291" spans="1:7">
      <c r="A291" s="3"/>
      <c r="B291" s="3"/>
      <c r="C291" s="3"/>
      <c r="D291" s="3"/>
      <c r="E291" s="3"/>
      <c r="F291" s="3"/>
      <c r="G291" s="3"/>
    </row>
    <row r="292" spans="1:7">
      <c r="A292" s="3"/>
      <c r="B292" s="3"/>
      <c r="C292" s="3"/>
      <c r="D292" s="3"/>
      <c r="E292" s="3"/>
      <c r="F292" s="3"/>
      <c r="G292" s="3"/>
    </row>
    <row r="293" spans="1:7">
      <c r="A293" s="3"/>
      <c r="B293" s="3"/>
      <c r="C293" s="3"/>
      <c r="D293" s="3"/>
      <c r="E293" s="3"/>
      <c r="F293" s="3"/>
      <c r="G293" s="3"/>
    </row>
    <row r="294" spans="1:7">
      <c r="A294" s="3"/>
      <c r="B294" s="3"/>
      <c r="C294" s="3"/>
      <c r="D294" s="3"/>
      <c r="E294" s="3"/>
      <c r="F294" s="3"/>
      <c r="G294" s="3"/>
    </row>
    <row r="295" spans="1:7">
      <c r="A295" s="3"/>
      <c r="B295" s="3"/>
      <c r="C295" s="3"/>
      <c r="D295" s="3"/>
      <c r="E295" s="3"/>
      <c r="F295" s="3"/>
      <c r="G295" s="3"/>
    </row>
    <row r="296" spans="1:7">
      <c r="A296" s="3"/>
      <c r="B296" s="3"/>
      <c r="C296" s="3"/>
      <c r="D296" s="3"/>
      <c r="E296" s="3"/>
      <c r="F296" s="3"/>
      <c r="G296" s="3"/>
    </row>
    <row r="297" spans="1:7">
      <c r="A297" s="3"/>
      <c r="B297" s="3"/>
      <c r="C297" s="3"/>
      <c r="D297" s="3"/>
      <c r="E297" s="3"/>
      <c r="F297" s="3"/>
      <c r="G297" s="3"/>
    </row>
    <row r="298" spans="1:7">
      <c r="A298" s="3"/>
      <c r="B298" s="3"/>
      <c r="C298" s="3"/>
      <c r="D298" s="3"/>
      <c r="E298" s="3"/>
      <c r="F298" s="3"/>
      <c r="G298" s="3"/>
    </row>
    <row r="299" spans="1:7">
      <c r="A299" s="3"/>
      <c r="B299" s="3"/>
      <c r="C299" s="3"/>
      <c r="D299" s="3"/>
      <c r="E299" s="3"/>
      <c r="F299" s="3"/>
      <c r="G299" s="3"/>
    </row>
    <row r="300" spans="1:7">
      <c r="A300" s="3"/>
      <c r="B300" s="3"/>
      <c r="C300" s="3"/>
      <c r="D300" s="3"/>
      <c r="E300" s="3"/>
      <c r="F300" s="3"/>
      <c r="G300" s="3"/>
    </row>
    <row r="301" spans="1:7">
      <c r="A301" s="3"/>
      <c r="B301" s="3"/>
      <c r="C301" s="3"/>
      <c r="D301" s="3"/>
      <c r="E301" s="3"/>
      <c r="F301" s="3"/>
      <c r="G301" s="3"/>
    </row>
    <row r="302" spans="1:7">
      <c r="A302" s="3"/>
      <c r="B302" s="3"/>
      <c r="C302" s="3"/>
      <c r="D302" s="3"/>
      <c r="E302" s="3"/>
      <c r="F302" s="3"/>
      <c r="G302" s="3"/>
    </row>
    <row r="303" spans="1:7">
      <c r="A303" s="3"/>
      <c r="B303" s="3"/>
      <c r="C303" s="3"/>
      <c r="D303" s="3"/>
      <c r="E303" s="3"/>
      <c r="F303" s="3"/>
      <c r="G303" s="3"/>
    </row>
    <row r="304" spans="1:7">
      <c r="A304" s="3"/>
      <c r="B304" s="3"/>
      <c r="C304" s="3"/>
      <c r="D304" s="3"/>
      <c r="E304" s="3"/>
      <c r="F304" s="3"/>
      <c r="G304" s="3"/>
    </row>
  </sheetData>
  <mergeCells count="1">
    <mergeCell ref="A2:G3"/>
  </mergeCells>
  <conditionalFormatting sqref="E5:E304">
    <cfRule type="containsText" dxfId="1" priority="1" operator="containsText" text="一致">
      <formula>NOT(ISERROR(SEARCH("一致",E5)))</formula>
    </cfRule>
    <cfRule type="containsText" dxfId="0" priority="2" operator="containsText" text="不一致">
      <formula>NOT(ISERROR(SEARCH("不一致",E5)))</formula>
    </cfRule>
  </conditionalFormatting>
  <dataValidations count="2">
    <dataValidation type="list" allowBlank="1" showInputMessage="1" showErrorMessage="1" sqref="E5:E304">
      <formula1>"一致,不一致"</formula1>
    </dataValidation>
    <dataValidation type="list" allowBlank="1" showInputMessage="1" showErrorMessage="1" sqref="F5:F304">
      <formula1>"动作漏识别,字段定义不清,判据不同,系统错误,其他"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1" width="26.7109375" customWidth="1"/>
    <col min="2" max="2" width="12.7109375" customWidth="1"/>
    <col min="3" max="3" width="50.7109375" customWidth="1"/>
  </cols>
  <sheetData>
    <row r="1" spans="1:3">
      <c r="A1" s="1" t="s">
        <v>34</v>
      </c>
    </row>
    <row r="2" spans="1:3">
      <c r="A2" s="2" t="s">
        <v>35</v>
      </c>
      <c r="B2" s="2"/>
      <c r="C2" s="2"/>
    </row>
    <row r="3" spans="1:3">
      <c r="A3" s="2"/>
      <c r="B3" s="2"/>
      <c r="C3" s="2"/>
    </row>
    <row r="4" spans="1:3">
      <c r="A4" s="4" t="s">
        <v>36</v>
      </c>
      <c r="B4" s="4" t="s">
        <v>37</v>
      </c>
      <c r="C4" s="4" t="s">
        <v>38</v>
      </c>
    </row>
    <row r="5" spans="1:3">
      <c r="A5" s="3" t="s">
        <v>39</v>
      </c>
      <c r="B5" s="5">
        <v>0.7</v>
      </c>
      <c r="C5" s="3" t="s">
        <v>40</v>
      </c>
    </row>
    <row r="6" spans="1:3">
      <c r="A6" s="3" t="s">
        <v>41</v>
      </c>
      <c r="B6" s="5">
        <v>0.8</v>
      </c>
      <c r="C6" s="3" t="s">
        <v>42</v>
      </c>
    </row>
    <row r="7" spans="1:3">
      <c r="A7" s="3" t="s">
        <v>43</v>
      </c>
      <c r="B7" s="5">
        <v>0.5</v>
      </c>
      <c r="C7" s="3" t="s">
        <v>44</v>
      </c>
    </row>
    <row r="8" spans="1:3">
      <c r="A8" s="3" t="s">
        <v>45</v>
      </c>
      <c r="B8" s="5">
        <v>0.3</v>
      </c>
      <c r="C8" s="3" t="s">
        <v>46</v>
      </c>
    </row>
    <row r="9" spans="1:3">
      <c r="A9" s="3" t="s">
        <v>47</v>
      </c>
      <c r="B9" s="6">
        <v>1.5</v>
      </c>
      <c r="C9" s="3" t="s">
        <v>48</v>
      </c>
    </row>
    <row r="10" spans="1:3">
      <c r="A10" s="3" t="s">
        <v>49</v>
      </c>
      <c r="B10" s="6">
        <v>3</v>
      </c>
      <c r="C10" s="3" t="s">
        <v>50</v>
      </c>
    </row>
    <row r="11" spans="1:3">
      <c r="A11" s="3" t="s">
        <v>51</v>
      </c>
      <c r="B11" s="5">
        <v>0.2</v>
      </c>
      <c r="C11" s="3" t="s">
        <v>52</v>
      </c>
    </row>
    <row r="12" spans="1:3">
      <c r="A12" s="3" t="s">
        <v>53</v>
      </c>
      <c r="B12" s="5">
        <v>0.2</v>
      </c>
      <c r="C12" s="3" t="s">
        <v>54</v>
      </c>
    </row>
    <row r="13" spans="1:3">
      <c r="A13" s="3" t="s">
        <v>55</v>
      </c>
      <c r="B13" s="7">
        <v>12</v>
      </c>
      <c r="C13" s="3" t="s">
        <v>56</v>
      </c>
    </row>
    <row r="14" spans="1:3">
      <c r="A14" s="3" t="s">
        <v>57</v>
      </c>
      <c r="B14" s="7">
        <v>3</v>
      </c>
      <c r="C14" s="3" t="s">
        <v>58</v>
      </c>
    </row>
    <row r="15" spans="1:3">
      <c r="A15" s="3" t="s">
        <v>59</v>
      </c>
      <c r="B15" s="7">
        <v>4</v>
      </c>
      <c r="C15" s="3" t="s">
        <v>60</v>
      </c>
    </row>
    <row r="16" spans="1:3">
      <c r="A16" s="3" t="s">
        <v>61</v>
      </c>
      <c r="B16" s="7">
        <v>1</v>
      </c>
      <c r="C16" s="3" t="s">
        <v>62</v>
      </c>
    </row>
    <row r="17" spans="1:3">
      <c r="A17" s="3" t="s">
        <v>63</v>
      </c>
      <c r="B17" s="7">
        <v>1</v>
      </c>
      <c r="C17" s="3" t="s">
        <v>64</v>
      </c>
    </row>
  </sheetData>
  <mergeCells count="1">
    <mergeCell ref="A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6.7109375" customWidth="1"/>
    <col min="3" max="4" width="12.7109375" customWidth="1"/>
    <col min="5" max="5" width="16.7109375" customWidth="1"/>
  </cols>
  <sheetData>
    <row r="1" spans="1:9">
      <c r="A1" s="1" t="s">
        <v>65</v>
      </c>
    </row>
    <row r="2" spans="1:9">
      <c r="A2" s="2" t="s">
        <v>66</v>
      </c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4" t="s">
        <v>67</v>
      </c>
      <c r="B4" s="4" t="s">
        <v>68</v>
      </c>
      <c r="C4" s="4" t="s">
        <v>37</v>
      </c>
      <c r="D4" s="4" t="s">
        <v>69</v>
      </c>
      <c r="E4" s="4" t="s">
        <v>70</v>
      </c>
    </row>
    <row r="5" spans="1:9">
      <c r="A5" s="3" t="s">
        <v>71</v>
      </c>
      <c r="B5" s="8"/>
      <c r="C5" s="7">
        <f>COUNTIF('动作事件'!$C$5:$C$304,"&lt;&gt;")-COUNTBLANK('动作事件'!$C$5:$C$304)</f>
        <v>0</v>
      </c>
      <c r="D5" s="8"/>
      <c r="E5" s="8"/>
    </row>
    <row r="6" spans="1:9">
      <c r="A6" s="3" t="s">
        <v>72</v>
      </c>
      <c r="B6" s="8"/>
      <c r="C6" s="7">
        <f>COUNTIF('响应事件'!$C$5:$C$304,"&lt;&gt;")-COUNTBLANK('响应事件'!$C$5:$C$304)</f>
        <v>0</v>
      </c>
      <c r="D6" s="8"/>
      <c r="E6" s="8"/>
    </row>
    <row r="7" spans="1:9">
      <c r="A7" s="3" t="s">
        <v>73</v>
      </c>
      <c r="B7" s="8"/>
      <c r="C7" s="7">
        <f>COUNTIF('响应事件'!$C$5:$C$304,"R0")</f>
        <v>0</v>
      </c>
      <c r="D7" s="8"/>
      <c r="E7" s="8"/>
    </row>
    <row r="8" spans="1:9">
      <c r="A8" s="3" t="s">
        <v>74</v>
      </c>
      <c r="B8" s="2" t="s">
        <v>75</v>
      </c>
      <c r="C8" s="5">
        <f>IF($C$6=0,"",$C$7/$C$6)</f>
        <v>0</v>
      </c>
      <c r="D8" s="5">
        <f>阈值!$B$5</f>
        <v>0</v>
      </c>
      <c r="E8" s="9">
        <f>IF($C$8="","未标注",IF($C$8&lt;阈值!$B$5,"判死：太吵","通过"))</f>
        <v>0</v>
      </c>
    </row>
    <row r="9" spans="1:9">
      <c r="A9" s="3" t="s">
        <v>76</v>
      </c>
      <c r="B9" s="8"/>
      <c r="C9" s="7">
        <f>COUNTIF('动作事件'!$F$5:$F$304,"是")</f>
        <v>0</v>
      </c>
      <c r="D9" s="8"/>
      <c r="E9" s="8"/>
    </row>
    <row r="10" spans="1:9">
      <c r="A10" s="3" t="s">
        <v>77</v>
      </c>
      <c r="B10" s="8"/>
      <c r="C10" s="7">
        <f>COUNTIFS('动作事件'!$F$5:$F$304,"是",'动作事件'!$C$5:$C$304,"&lt;&gt;")</f>
        <v>0</v>
      </c>
      <c r="D10" s="8"/>
      <c r="E10" s="8"/>
    </row>
    <row r="11" spans="1:9">
      <c r="A11" s="3" t="s">
        <v>78</v>
      </c>
      <c r="B11" s="2" t="s">
        <v>79</v>
      </c>
      <c r="C11" s="5">
        <f>IF($C$9=0,"",$C$10/$C$9)</f>
        <v>0</v>
      </c>
      <c r="D11" s="5">
        <f>阈值!$B$7</f>
        <v>0</v>
      </c>
      <c r="E11" s="9">
        <f>IF($C$11="","未标注",IF($C$11&lt;阈值!$B$8,"判死：没在听",IF($C$11&lt;阈值!$B$7,"警告：漏得多","通过")))</f>
        <v>0</v>
      </c>
    </row>
    <row r="12" spans="1:9">
      <c r="A12" s="3" t="s">
        <v>80</v>
      </c>
      <c r="B12" s="8"/>
      <c r="C12" s="7">
        <f>COUNTIF('人工核对'!$E$5:$E$304,"一致")</f>
        <v>0</v>
      </c>
      <c r="D12" s="8"/>
      <c r="E12" s="8"/>
    </row>
    <row r="13" spans="1:9">
      <c r="A13" s="3" t="s">
        <v>81</v>
      </c>
      <c r="B13" s="8"/>
      <c r="C13" s="7">
        <f>COUNTIF('人工核对'!$E$5:$E$304,"不一致")</f>
        <v>0</v>
      </c>
      <c r="D13" s="8"/>
      <c r="E13" s="8"/>
    </row>
    <row r="14" spans="1:9">
      <c r="A14" s="3" t="s">
        <v>82</v>
      </c>
      <c r="B14" s="2" t="s">
        <v>83</v>
      </c>
      <c r="C14" s="5">
        <f>IF(($C$12+$C$13)=0,"",$C$12/($C$12+$C$13))</f>
        <v>0</v>
      </c>
      <c r="D14" s="5">
        <f>阈值!$B$6</f>
        <v>0</v>
      </c>
      <c r="E14" s="9">
        <f>IF($C$14="","未标注",IF($C$14&lt;阈值!$B$6,"判死：状态不准","通过"))</f>
        <v>0</v>
      </c>
    </row>
    <row r="17" spans="1:4">
      <c r="A17" s="10" t="s">
        <v>84</v>
      </c>
    </row>
    <row r="18" spans="1:4">
      <c r="A18" s="4" t="s">
        <v>85</v>
      </c>
      <c r="B18" s="4" t="s">
        <v>86</v>
      </c>
      <c r="C18" s="4" t="s">
        <v>87</v>
      </c>
      <c r="D18" s="4" t="s">
        <v>38</v>
      </c>
    </row>
    <row r="19" spans="1:4">
      <c r="A19" s="8" t="s">
        <v>88</v>
      </c>
      <c r="B19" s="7">
        <f>COUNTIF('响应事件'!$C$5:$C$304,$A19)</f>
        <v>0</v>
      </c>
      <c r="C19" s="5">
        <f>IF($C$6=0,"",$B19/$C$6)</f>
        <v>0</v>
      </c>
      <c r="D19" s="3" t="s">
        <v>89</v>
      </c>
    </row>
    <row r="20" spans="1:4">
      <c r="A20" s="8" t="s">
        <v>90</v>
      </c>
      <c r="B20" s="7">
        <f>COUNTIF('响应事件'!$C$5:$C$304,$A20)</f>
        <v>0</v>
      </c>
      <c r="C20" s="5">
        <f>IF($C$6=0,"",$B20/$C$6)</f>
        <v>0</v>
      </c>
      <c r="D20" s="3" t="s">
        <v>91</v>
      </c>
    </row>
    <row r="21" spans="1:4">
      <c r="A21" s="8" t="s">
        <v>92</v>
      </c>
      <c r="B21" s="7">
        <f>COUNTIF('响应事件'!$C$5:$C$304,$A21)</f>
        <v>0</v>
      </c>
      <c r="C21" s="5">
        <f>IF($C$6=0,"",$B21/$C$6)</f>
        <v>0</v>
      </c>
      <c r="D21" s="3" t="s">
        <v>93</v>
      </c>
    </row>
    <row r="22" spans="1:4">
      <c r="A22" s="8" t="s">
        <v>94</v>
      </c>
      <c r="B22" s="7">
        <f>COUNTIF('响应事件'!$C$5:$C$304,$A22)</f>
        <v>0</v>
      </c>
      <c r="C22" s="5">
        <f>IF($C$6=0,"",$B22/$C$6)</f>
        <v>0</v>
      </c>
      <c r="D22" s="3" t="s">
        <v>95</v>
      </c>
    </row>
    <row r="23" spans="1:4">
      <c r="A23" s="8" t="s">
        <v>96</v>
      </c>
      <c r="B23" s="7">
        <f>COUNTIF('响应事件'!$C$5:$C$304,$A23)</f>
        <v>0</v>
      </c>
      <c r="C23" s="5">
        <f>IF($C$6=0,"",$B23/$C$6)</f>
        <v>0</v>
      </c>
      <c r="D23" s="3" t="s">
        <v>97</v>
      </c>
    </row>
    <row r="24" spans="1:4">
      <c r="A24" s="8" t="s">
        <v>98</v>
      </c>
      <c r="B24" s="7">
        <f>COUNTIF('响应事件'!$C$5:$C$304,$A24)</f>
        <v>0</v>
      </c>
      <c r="C24" s="5">
        <f>IF($C$6=0,"",$B24/$C$6)</f>
        <v>0</v>
      </c>
      <c r="D24" s="3" t="s">
        <v>99</v>
      </c>
    </row>
    <row r="25" spans="1:4">
      <c r="A25" s="10" t="s">
        <v>100</v>
      </c>
      <c r="B25" s="9">
        <f>IF($B19=0,"",IF($C19&gt;阈值!$B$12,"判死：系统在空转","通过"))</f>
        <v>0</v>
      </c>
    </row>
    <row r="27" spans="1:4">
      <c r="A27" s="10" t="s">
        <v>101</v>
      </c>
    </row>
    <row r="28" spans="1:4">
      <c r="A28" s="4" t="s">
        <v>102</v>
      </c>
      <c r="B28" s="4" t="s">
        <v>103</v>
      </c>
    </row>
    <row r="29" spans="1:4">
      <c r="A29" s="3" t="s">
        <v>104</v>
      </c>
      <c r="B29" s="7">
        <f>COUNTIF('响应事件'!$C$5:$C$304,"R2")</f>
        <v>0</v>
      </c>
    </row>
    <row r="30" spans="1:4">
      <c r="A30" s="3" t="s">
        <v>105</v>
      </c>
      <c r="B30" s="7">
        <f>COUNTIF('响应事件'!$G$5:$G$304,"是")</f>
        <v>0</v>
      </c>
    </row>
    <row r="31" spans="1:4">
      <c r="A31" s="3" t="s">
        <v>106</v>
      </c>
      <c r="B31" s="5">
        <f>IF($B29=0,"",$B30/$B29)</f>
        <v>0</v>
      </c>
    </row>
    <row r="32" spans="1:4">
      <c r="A32" s="10" t="s">
        <v>70</v>
      </c>
      <c r="B32" s="9">
        <f>IF($B32=0,"未标注",IF($B31&gt;阈值!$B$11,"判死：纠错不可信","通过"))</f>
        <v>0</v>
      </c>
    </row>
    <row r="35" spans="1:3">
      <c r="A35" s="10" t="s">
        <v>107</v>
      </c>
    </row>
    <row r="36" spans="1:3">
      <c r="A36" s="4" t="s">
        <v>108</v>
      </c>
      <c r="B36" s="4" t="s">
        <v>86</v>
      </c>
      <c r="C36" s="4" t="s">
        <v>87</v>
      </c>
    </row>
    <row r="37" spans="1:3">
      <c r="A37" s="8" t="s">
        <v>109</v>
      </c>
      <c r="B37" s="7">
        <f>COUNTIFS('动作事件'!$C$5:$C$304,$A37&amp;"*")</f>
        <v>0</v>
      </c>
      <c r="C37" s="5">
        <f>IF($C$4=0,"",$B37/$C$4)</f>
        <v>0</v>
      </c>
    </row>
    <row r="38" spans="1:3">
      <c r="A38" s="8" t="s">
        <v>110</v>
      </c>
      <c r="B38" s="7">
        <f>COUNTIFS('动作事件'!$C$5:$C$304,$A38&amp;"*")</f>
        <v>0</v>
      </c>
      <c r="C38" s="5">
        <f>IF($C$4=0,"",$B38/$C$4)</f>
        <v>0</v>
      </c>
    </row>
    <row r="39" spans="1:3">
      <c r="A39" s="8" t="s">
        <v>111</v>
      </c>
      <c r="B39" s="7">
        <f>COUNTIFS('动作事件'!$C$5:$C$304,$A39&amp;"*")</f>
        <v>0</v>
      </c>
      <c r="C39" s="5">
        <f>IF($C$4=0,"",$B39/$C$4)</f>
        <v>0</v>
      </c>
    </row>
    <row r="40" spans="1:3">
      <c r="A40" s="8" t="s">
        <v>112</v>
      </c>
      <c r="B40" s="7">
        <f>COUNTIFS('动作事件'!$C$5:$C$304,$A40&amp;"*")</f>
        <v>0</v>
      </c>
      <c r="C40" s="5">
        <f>IF($C$4=0,"",$B40/$C$4)</f>
        <v>0</v>
      </c>
    </row>
    <row r="41" spans="1:3">
      <c r="A41" s="8" t="s">
        <v>113</v>
      </c>
      <c r="B41" s="7">
        <f>COUNTIFS('动作事件'!$C$5:$C$304,$A41&amp;"*")</f>
        <v>0</v>
      </c>
      <c r="C41" s="5">
        <f>IF($C$4=0,"",$B41/$C$4)</f>
        <v>0</v>
      </c>
    </row>
    <row r="42" spans="1:3">
      <c r="A42" s="8" t="s">
        <v>114</v>
      </c>
      <c r="B42" s="7">
        <f>COUNTIFS('动作事件'!$C$5:$C$304,$A42&amp;"*")</f>
        <v>0</v>
      </c>
      <c r="C42" s="5">
        <f>IF($C$4=0,"",$B42/$C$4)</f>
        <v>0</v>
      </c>
    </row>
    <row r="45" spans="1:3">
      <c r="A45" s="10" t="s">
        <v>115</v>
      </c>
    </row>
    <row r="46" spans="1:3">
      <c r="A46" s="4" t="s">
        <v>32</v>
      </c>
      <c r="B46" s="4" t="s">
        <v>86</v>
      </c>
    </row>
    <row r="47" spans="1:3">
      <c r="A47" s="3" t="s">
        <v>116</v>
      </c>
      <c r="B47" s="7">
        <f>COUNTIF('人工核对'!$F$5:$F$304,$A47)</f>
        <v>0</v>
      </c>
    </row>
    <row r="48" spans="1:3">
      <c r="A48" s="3" t="s">
        <v>117</v>
      </c>
      <c r="B48" s="7">
        <f>COUNTIF('人工核对'!$F$5:$F$304,$A48)</f>
        <v>0</v>
      </c>
    </row>
    <row r="49" spans="1:2">
      <c r="A49" s="3" t="s">
        <v>118</v>
      </c>
      <c r="B49" s="7">
        <f>COUNTIF('人工核对'!$F$5:$F$304,$A49)</f>
        <v>0</v>
      </c>
    </row>
    <row r="50" spans="1:2">
      <c r="A50" s="3" t="s">
        <v>119</v>
      </c>
      <c r="B50" s="7">
        <f>COUNTIF('人工核对'!$F$5:$F$304,$A50)</f>
        <v>0</v>
      </c>
    </row>
    <row r="51" spans="1:2">
      <c r="A51" s="3" t="s">
        <v>120</v>
      </c>
      <c r="B51" s="7">
        <f>COUNTIF('人工核对'!$F$5:$F$304,$A51)</f>
        <v>0</v>
      </c>
    </row>
    <row r="54" spans="1:2">
      <c r="A54" s="10" t="s">
        <v>121</v>
      </c>
    </row>
    <row r="55" spans="1:2">
      <c r="A55" s="2" t="s">
        <v>122</v>
      </c>
    </row>
    <row r="56" spans="1:2">
      <c r="A56" s="2" t="s">
        <v>123</v>
      </c>
    </row>
    <row r="57" spans="1:2">
      <c r="A57" s="2" t="s">
        <v>124</v>
      </c>
    </row>
    <row r="58" spans="1:2">
      <c r="A58" s="2" t="s">
        <v>125</v>
      </c>
    </row>
    <row r="59" spans="1:2">
      <c r="A59" s="2" t="s">
        <v>126</v>
      </c>
    </row>
    <row r="60" spans="1:2">
      <c r="A60" s="2" t="s">
        <v>127</v>
      </c>
    </row>
    <row r="62" spans="1:2">
      <c r="A62" s="2" t="s">
        <v>128</v>
      </c>
    </row>
  </sheetData>
  <mergeCells count="1">
    <mergeCell ref="A2:I3"/>
  </mergeCells>
  <conditionalFormatting sqref="B25">
    <cfRule type="containsText" dxfId="2" priority="4" operator="containsText" text="通过">
      <formula>NOT(ISERROR(SEARCH("通过",B25)))</formula>
    </cfRule>
    <cfRule type="containsText" dxfId="3" priority="5" operator="containsText" text="判死">
      <formula>NOT(ISERROR(SEARCH("判死",B25)))</formula>
    </cfRule>
  </conditionalFormatting>
  <conditionalFormatting sqref="B32">
    <cfRule type="containsText" dxfId="2" priority="6" operator="containsText" text="通过">
      <formula>NOT(ISERROR(SEARCH("通过",B32)))</formula>
    </cfRule>
    <cfRule type="containsText" dxfId="3" priority="7" operator="containsText" text="判死">
      <formula>NOT(ISERROR(SEARCH("判死",B32)))</formula>
    </cfRule>
  </conditionalFormatting>
  <conditionalFormatting sqref="E5:E14">
    <cfRule type="containsText" dxfId="2" priority="1" operator="containsText" text="通过">
      <formula>NOT(ISERROR(SEARCH("通过",E5)))</formula>
    </cfRule>
    <cfRule type="containsText" dxfId="3" priority="2" operator="containsText" text="判死">
      <formula>NOT(ISERROR(SEARCH("判死",E5)))</formula>
    </cfRule>
    <cfRule type="containsText" dxfId="4" priority="3" operator="containsText" text="警告">
      <formula>NOT(ISERROR(SEARCH("警告",E5)))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动作事件</vt:lpstr>
      <vt:lpstr>状态快照</vt:lpstr>
      <vt:lpstr>响应事件</vt:lpstr>
      <vt:lpstr>人工核对</vt:lpstr>
      <vt:lpstr>阈值</vt:lpstr>
      <vt:lpstr>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2026-10-02T16:11:58Z</dcterms:created>
  <dcterms:modified xsi:type="dcterms:W3CDTF">2026-10-02T16:11:58Z</dcterms:modified>
</cp:coreProperties>
</file>